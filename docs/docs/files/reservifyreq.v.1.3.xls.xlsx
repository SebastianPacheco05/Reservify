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nceptos técnicos y REQ." sheetId="1" state="visible" r:id="rId1"/>
    <sheet name="REQ. No funcionales" sheetId="2" state="visible" r:id="rId2"/>
    <sheet name="REQ. funcionales Frontend" sheetId="3" state="visible" r:id="rId3"/>
    <sheet name="REQ. funcionales db" sheetId="4" state="visible" r:id="rId4"/>
    <sheet name="REQ. funcionales backend" sheetId="5" state="visible" r:id="rId5"/>
    <sheet name="Financieras" sheetId="6" state="visible" r:id="rId6"/>
    <sheet name="Gestion Humana" sheetId="7" state="visible" r:id="rId7"/>
    <sheet name="REQ. no funcionales Frontend" sheetId="8" state="visible" r:id="rId8"/>
  </sheets>
  <definedNames/>
  <calcPr calcId="124519" fullCalcOnLoad="1"/>
</workbook>
</file>

<file path=xl/styles.xml><?xml version="1.0" encoding="utf-8"?>
<styleSheet xmlns="http://schemas.openxmlformats.org/spreadsheetml/2006/main">
  <numFmts count="1">
    <numFmt numFmtId="164" formatCode="_-* #,##0.00\ _€_-;\-* #,##0.00\ _€_-;_-* &quot;-&quot;??\ _€_-;_-@"/>
  </numFmts>
  <fonts count="24">
    <font>
      <name val="Arial"/>
      <color theme="1"/>
      <sz val="11"/>
      <scheme val="minor"/>
    </font>
    <font>
      <name val="Calibri"/>
      <color theme="1"/>
      <sz val="11"/>
    </font>
    <font>
      <name val="Calibri"/>
      <color theme="0"/>
      <sz val="11"/>
    </font>
    <font/>
    <font>
      <name val="Calibri"/>
      <color theme="1"/>
      <sz val="11"/>
      <u val="single"/>
    </font>
    <font>
      <name val="Arial"/>
      <b val="1"/>
      <color theme="1"/>
      <sz val="12"/>
    </font>
    <font>
      <name val="Calibri"/>
      <b val="1"/>
      <color theme="1"/>
      <sz val="12"/>
    </font>
    <font>
      <name val="Calibri"/>
      <color theme="1"/>
      <sz val="12"/>
    </font>
    <font>
      <name val="Calibri"/>
      <color theme="1"/>
    </font>
    <font>
      <name val="Calibri"/>
      <b val="1"/>
      <color theme="1"/>
      <sz val="11"/>
    </font>
    <font>
      <name val="Calibri"/>
      <b val="1"/>
      <color theme="0"/>
      <sz val="14"/>
    </font>
    <font>
      <name val="Calibri"/>
      <color theme="0"/>
      <sz val="14"/>
    </font>
    <font>
      <name val="Calibri"/>
      <color rgb="FF000000"/>
      <sz val="14"/>
    </font>
    <font>
      <name val="Calibri"/>
      <color rgb="FF000000"/>
      <sz val="11"/>
    </font>
    <font>
      <name val="Calibri"/>
      <color theme="1"/>
      <sz val="14"/>
    </font>
    <font>
      <name val="Arial"/>
      <color theme="1"/>
      <sz val="14"/>
    </font>
    <font>
      <name val="Calibri"/>
      <b val="1"/>
      <color rgb="FF1E4E79"/>
      <sz val="14"/>
    </font>
    <font>
      <name val="Calibri"/>
      <color rgb="FFB4C6E7"/>
      <sz val="14"/>
    </font>
    <font>
      <name val="Calibri"/>
      <color rgb="FF000000"/>
      <sz val="12"/>
    </font>
    <font>
      <name val="Calibri"/>
      <color theme="0"/>
      <sz val="12"/>
    </font>
    <font>
      <name val="Calibri"/>
      <color rgb="FF1F1F1F"/>
      <sz val="12"/>
    </font>
    <font>
      <name val="Calibri"/>
      <color theme="1"/>
      <sz val="11"/>
      <u val="single"/>
    </font>
    <font>
      <name val="Arial"/>
      <color rgb="FF1F1F1F"/>
      <sz val="11"/>
    </font>
    <font>
      <name val="Arial"/>
      <b val="1"/>
      <color rgb="FF1F1F1F"/>
      <sz val="11"/>
    </font>
  </fonts>
  <fills count="10">
    <fill>
      <patternFill/>
    </fill>
    <fill>
      <patternFill patternType="lightGray"/>
    </fill>
    <fill>
      <patternFill patternType="solid">
        <fgColor theme="1"/>
        <bgColor theme="1"/>
      </patternFill>
    </fill>
    <fill>
      <patternFill patternType="solid">
        <fgColor rgb="FFFFC000"/>
        <bgColor rgb="FFFFC000"/>
      </patternFill>
    </fill>
    <fill>
      <patternFill patternType="solid">
        <fgColor rgb="FFF2F2F2"/>
        <bgColor rgb="FFF2F2F2"/>
      </patternFill>
    </fill>
    <fill>
      <patternFill patternType="solid">
        <fgColor rgb="FF385623"/>
        <bgColor rgb="FF385623"/>
      </patternFill>
    </fill>
    <fill>
      <patternFill patternType="solid">
        <fgColor theme="0"/>
        <bgColor theme="0"/>
      </patternFill>
    </fill>
    <fill>
      <patternFill patternType="solid">
        <fgColor rgb="FFFFD965"/>
        <bgColor rgb="FFFFD965"/>
      </patternFill>
    </fill>
    <fill>
      <patternFill patternType="solid">
        <fgColor rgb="FFEAF3FA"/>
        <bgColor rgb="FFEAF3FA"/>
      </patternFill>
    </fill>
    <fill>
      <patternFill patternType="solid">
        <fgColor rgb="FF2E75B5"/>
        <bgColor rgb="FF2E75B5"/>
      </patternFill>
    </fill>
  </fills>
  <borders count="150">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left style="thin">
        <color rgb="FF000000"/>
      </left>
      <right/>
      <top/>
      <bottom/>
    </border>
    <border>
      <left style="thin">
        <color rgb="FFFFC000"/>
      </left>
      <top/>
      <bottom/>
    </border>
    <border>
      <top style="thin">
        <color rgb="FFFFC000"/>
      </top>
    </border>
    <border>
      <left style="thin">
        <color rgb="FF757070"/>
      </left>
      <top style="thin">
        <color rgb="FF757070"/>
      </top>
      <bottom style="thin">
        <color rgb="FF757070"/>
      </bottom>
    </border>
    <border>
      <top style="thin">
        <color rgb="FF757070"/>
      </top>
      <bottom style="thin">
        <color rgb="FF757070"/>
      </bottom>
    </border>
    <border>
      <right style="thin">
        <color rgb="FF757070"/>
      </right>
      <top style="thin">
        <color rgb="FF757070"/>
      </top>
      <bottom style="thin">
        <color rgb="FF757070"/>
      </bottom>
    </border>
    <border>
      <left style="thin">
        <color rgb="FF757070"/>
      </left>
      <right style="thin">
        <color rgb="FF757070"/>
      </right>
      <top style="thin">
        <color rgb="FF757070"/>
      </top>
    </border>
    <border>
      <left style="thin">
        <color rgb="FFA8D08D"/>
      </left>
      <top style="thin">
        <color rgb="FFA8D08D"/>
      </top>
      <bottom style="thin">
        <color rgb="FFA8D08D"/>
      </bottom>
    </border>
    <border>
      <top style="thin">
        <color rgb="FFA8D08D"/>
      </top>
      <bottom style="thin">
        <color rgb="FFA8D08D"/>
      </bottom>
    </border>
    <border>
      <left style="thin">
        <color rgb="FF757070"/>
      </left>
      <right style="thin">
        <color rgb="FF757070"/>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bottom style="thin">
        <color rgb="FF757070"/>
      </bottom>
    </border>
    <border>
      <left style="thin">
        <color rgb="FFA8D08D"/>
      </left>
      <right style="thin">
        <color rgb="FFA8D08D"/>
      </right>
      <top style="thin">
        <color rgb="FFA8D08D"/>
      </top>
    </border>
    <border>
      <left style="thin">
        <color rgb="FFA8D08D"/>
      </left>
      <top style="thin">
        <color rgb="FFA8D08D"/>
      </top>
      <bottom style="thin">
        <color rgb="FF385623"/>
      </bottom>
    </border>
    <border>
      <right style="thin">
        <color rgb="FF385623"/>
      </right>
    </border>
    <border>
      <left style="thin">
        <color rgb="FF385623"/>
      </left>
      <right style="thin">
        <color theme="9"/>
      </right>
      <top style="thin">
        <color rgb="FF385623"/>
      </top>
      <bottom/>
    </border>
    <border>
      <left style="thin">
        <color theme="9"/>
      </left>
      <top style="thin">
        <color rgb="FF385623"/>
      </top>
      <bottom style="thin">
        <color rgb="FF385623"/>
      </bottom>
    </border>
    <border>
      <right style="thin">
        <color rgb="FF757070"/>
      </right>
      <top style="thin">
        <color rgb="FF757070"/>
      </top>
    </border>
    <border>
      <left style="thin">
        <color rgb="FF385623"/>
      </left>
      <top style="thin">
        <color rgb="FF385623"/>
      </top>
      <bottom style="thin">
        <color rgb="FF385623"/>
      </bottom>
    </border>
    <border>
      <right style="thin">
        <color rgb="FF757070"/>
      </right>
    </border>
    <border>
      <left style="thin">
        <color theme="9"/>
      </left>
      <right/>
      <top style="thin">
        <color rgb="FF385623"/>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385623"/>
      </left>
      <right/>
      <top style="thin">
        <color rgb="FF385623"/>
      </top>
      <bottom/>
    </border>
    <border>
      <left style="thin">
        <color rgb="FFA8D08D"/>
      </left>
      <top style="thin">
        <color rgb="FFA8D08D"/>
      </top>
    </border>
    <border>
      <top style="thin">
        <color rgb="FF757070"/>
      </top>
    </border>
    <border>
      <left style="thin">
        <color rgb="FF000000"/>
      </left>
      <right/>
      <top style="thin">
        <color rgb="FF000000"/>
      </top>
      <bottom style="thin">
        <color rgb="FF000000"/>
      </bottom>
    </border>
    <border>
      <left style="thin">
        <color rgb="FF757070"/>
      </left>
      <right style="thin">
        <color rgb="FF757070"/>
      </right>
    </border>
    <border>
      <left style="thin">
        <color rgb="FF000000"/>
      </left>
      <right style="thin">
        <color rgb="FF000000"/>
      </right>
    </border>
    <border>
      <top style="thin">
        <color theme="0"/>
      </top>
      <bottom style="thin">
        <color theme="0"/>
      </bottom>
    </border>
    <border>
      <bottom style="thin">
        <color theme="0"/>
      </bottom>
    </border>
    <border>
      <left style="thin">
        <color rgb="FF000000"/>
      </left>
      <right/>
      <top style="thin">
        <color rgb="FF000000"/>
      </top>
      <bottom/>
    </border>
    <border>
      <right style="thin">
        <color rgb="FF757070"/>
      </right>
      <bottom style="thin">
        <color rgb="FF757070"/>
      </bottom>
    </border>
    <border>
      <left/>
      <right/>
      <top/>
      <bottom/>
    </border>
    <border>
      <right/>
      <top/>
      <bottom/>
    </border>
    <border>
      <left/>
      <right/>
      <top style="thin">
        <color rgb="FFFFC000"/>
      </top>
      <bottom/>
    </border>
    <border>
      <right style="thin">
        <color rgb="FF000000"/>
      </right>
      <top style="thin">
        <color rgb="FF757070"/>
      </top>
      <bottom style="thin">
        <color rgb="FF757070"/>
      </bottom>
    </border>
    <border>
      <left style="thin">
        <color rgb="FFEAF3FA"/>
      </left>
      <top style="thin">
        <color rgb="FFEAF3FA"/>
      </top>
      <bottom style="thin">
        <color rgb="FFEAF3FA"/>
      </bottom>
    </border>
    <border>
      <top style="thin">
        <color rgb="FFEAF3FA"/>
      </top>
      <bottom style="thin">
        <color rgb="FFEAF3FA"/>
      </bottom>
    </border>
    <border>
      <right style="thin">
        <color rgb="FFEAF3FA"/>
      </right>
      <top style="thin">
        <color rgb="FFEAF3FA"/>
      </top>
      <bottom style="thin">
        <color rgb="FFEAF3FA"/>
      </bottom>
    </border>
    <border>
      <left style="thin">
        <color rgb="FFEAF3FA"/>
      </left>
      <right style="thin">
        <color rgb="FF757070"/>
      </right>
    </border>
    <border>
      <left style="thin">
        <color rgb="FFDEEAF6"/>
      </left>
      <right style="thin">
        <color rgb="FFDEEAF6"/>
      </right>
      <top style="thin">
        <color rgb="FFDEEAF6"/>
      </top>
      <bottom style="thin">
        <color rgb="FFDEEAF6"/>
      </bottom>
    </border>
    <border>
      <left style="thin">
        <color rgb="FFDEEAF6"/>
      </left>
      <top style="thin">
        <color rgb="FFDEEAF6"/>
      </top>
      <bottom style="thin">
        <color rgb="FFDEEAF6"/>
      </bottom>
    </border>
    <border>
      <right style="thin">
        <color rgb="FF000000"/>
      </right>
      <top style="thin">
        <color rgb="FFDEEAF6"/>
      </top>
      <bottom style="thin">
        <color rgb="FFDEEAF6"/>
      </bottom>
    </border>
    <border>
      <left style="thin">
        <color rgb="FFDEEAF6"/>
      </left>
      <right style="thin">
        <color rgb="FF757070"/>
      </right>
    </border>
    <border>
      <left style="thin">
        <color rgb="FFDEEAF6"/>
      </left>
      <right/>
      <top style="thin">
        <color rgb="FFDEEAF6"/>
      </top>
      <bottom/>
    </border>
    <border>
      <left style="thin">
        <color rgb="FFDEEAF6"/>
      </left>
      <top style="thin">
        <color rgb="FFDEEAF6"/>
      </top>
    </border>
    <border>
      <right style="thin">
        <color rgb="FF000000"/>
      </right>
      <top style="thin">
        <color rgb="FFDEEAF6"/>
      </top>
    </border>
    <border>
      <right style="thin">
        <color rgb="FF9CC2E5"/>
      </right>
    </border>
    <border>
      <left style="thin">
        <color rgb="FF9CC2E5"/>
      </left>
      <right style="thin">
        <color rgb="FF9CC2E5"/>
      </right>
      <top style="thin">
        <color rgb="FFDEEAF6"/>
      </top>
      <bottom style="thin">
        <color rgb="FF9CC2E5"/>
      </bottom>
    </border>
    <border>
      <left style="thin">
        <color rgb="FF9CC2E5"/>
      </left>
      <top style="thin">
        <color rgb="FFDEEAF6"/>
      </top>
      <bottom style="thin">
        <color rgb="FF9CC2E5"/>
      </bottom>
    </border>
    <border>
      <right style="thin">
        <color rgb="FF000000"/>
      </right>
      <top style="thin">
        <color rgb="FFDEEAF6"/>
      </top>
      <bottom style="thin">
        <color rgb="FF9CC2E5"/>
      </bottom>
    </border>
    <border>
      <left style="thin">
        <color rgb="FF9CC2E5"/>
      </left>
      <right style="thin">
        <color rgb="FF757070"/>
      </right>
    </border>
    <border>
      <left style="thin">
        <color rgb="FF9CC2E5"/>
      </left>
      <right style="thin">
        <color rgb="FF9CC2E5"/>
      </right>
      <top style="thin">
        <color rgb="FF9CC2E5"/>
      </top>
      <bottom style="thin">
        <color theme="0"/>
      </bottom>
    </border>
    <border>
      <top style="thin">
        <color rgb="FF9CC2E5"/>
      </top>
    </border>
    <border>
      <right style="thin">
        <color rgb="FF9CC2E5"/>
      </right>
      <top style="thin">
        <color rgb="FF9CC2E5"/>
      </top>
    </border>
    <border>
      <left/>
      <right/>
      <top style="thin">
        <color theme="0"/>
      </top>
      <bottom/>
    </border>
    <border>
      <left/>
      <top/>
      <bottom style="thin">
        <color theme="0"/>
      </bottom>
    </border>
    <border>
      <right style="thin">
        <color rgb="FF000000"/>
      </right>
      <top/>
      <bottom style="thin">
        <color theme="0"/>
      </bottom>
    </border>
    <border>
      <right style="thin">
        <color rgb="FF2E75B5"/>
      </right>
    </border>
    <border>
      <left style="thin">
        <color rgb="FF2E75B5"/>
      </left>
      <right style="thin">
        <color rgb="FF757070"/>
      </right>
    </border>
    <border>
      <left style="thin">
        <color rgb="FF2E75B5"/>
      </left>
      <right style="thin">
        <color rgb="FF2E75B5"/>
      </right>
      <top style="thin">
        <color rgb="FF1E4E79"/>
      </top>
      <bottom/>
    </border>
    <border>
      <left style="thin">
        <color rgb="FF2E75B5"/>
      </left>
      <top style="thin">
        <color theme="0"/>
      </top>
      <bottom style="thin">
        <color rgb="FF2E75B5"/>
      </bottom>
    </border>
    <border>
      <right style="thin">
        <color rgb="FF000000"/>
      </right>
      <top style="thin">
        <color theme="0"/>
      </top>
      <bottom style="thin">
        <color rgb="FF2E75B5"/>
      </bottom>
    </border>
    <border>
      <top style="thin">
        <color rgb="FF2E75B5"/>
      </top>
      <bottom style="thin">
        <color rgb="FF2E75B5"/>
      </bottom>
    </border>
    <border>
      <right style="thin">
        <color rgb="FF2E75B5"/>
      </right>
      <top style="thin">
        <color rgb="FF2E75B5"/>
      </top>
      <bottom style="thin">
        <color rgb="FF2E75B5"/>
      </bottom>
    </border>
    <border>
      <left style="thin">
        <color rgb="FFBDD6EE"/>
      </left>
      <right style="thin">
        <color rgb="FFBDD6EE"/>
      </right>
      <top style="thin">
        <color rgb="FFBDD6EE"/>
      </top>
      <bottom style="thin">
        <color theme="0"/>
      </bottom>
    </border>
    <border>
      <left/>
      <top style="thin">
        <color rgb="FFBDD6EE"/>
      </top>
      <bottom/>
    </border>
    <border>
      <right style="thin">
        <color rgb="FF000000"/>
      </right>
      <top style="thin">
        <color rgb="FFBDD6EE"/>
      </top>
      <bottom/>
    </border>
    <border>
      <left style="thin">
        <color rgb="FFBDD6EE"/>
      </left>
    </border>
    <border>
      <top style="thin">
        <color rgb="FFBDD6EE"/>
      </top>
      <bottom style="thin">
        <color rgb="FFBDD6EE"/>
      </bottom>
    </border>
    <border>
      <right style="thin">
        <color rgb="FF000000"/>
      </right>
      <top style="thin">
        <color rgb="FFBDD6EE"/>
      </top>
      <bottom style="thin">
        <color rgb="FFBDD6EE"/>
      </bottom>
    </border>
    <border>
      <left style="thin">
        <color rgb="FFBDD6EE"/>
      </left>
      <top style="thin">
        <color rgb="FFBDD6EE"/>
      </top>
      <bottom style="thin">
        <color rgb="FFBDD6EE"/>
      </bottom>
    </border>
    <border>
      <left style="thin">
        <color rgb="FF2E75B5"/>
      </left>
      <right style="thin">
        <color rgb="FF2E75B5"/>
      </right>
      <top style="thin">
        <color rgb="FF2E75B5"/>
      </top>
      <bottom style="thin">
        <color rgb="FFE7E6E6"/>
      </bottom>
    </border>
    <border>
      <left/>
      <right/>
      <top/>
      <bottom style="thin">
        <color rgb="FFE7E6E6"/>
      </bottom>
    </border>
    <border>
      <top style="thin">
        <color rgb="FF2E75B5"/>
      </top>
      <bottom style="thin">
        <color rgb="FFB4C6E7"/>
      </bottom>
    </border>
    <border>
      <right style="thin">
        <color rgb="FF000000"/>
      </right>
      <top style="thin">
        <color rgb="FF2E75B5"/>
      </top>
      <bottom style="thin">
        <color rgb="FFB4C6E7"/>
      </bottom>
    </border>
    <border>
      <left/>
      <right/>
      <top style="thin">
        <color rgb="FFE7E6E6"/>
      </top>
      <bottom style="thin">
        <color rgb="FFE7E6E6"/>
      </bottom>
    </border>
    <border>
      <top style="thin">
        <color rgb="FFB4C6E7"/>
      </top>
      <bottom style="thin">
        <color rgb="FFB4C6E7"/>
      </bottom>
    </border>
    <border>
      <right style="thin">
        <color rgb="FF000000"/>
      </right>
      <top style="thin">
        <color rgb="FFB4C6E7"/>
      </top>
      <bottom style="thin">
        <color rgb="FFB4C6E7"/>
      </bottom>
    </border>
    <border>
      <left style="thin">
        <color rgb="FF2E75B5"/>
      </left>
      <top style="thin">
        <color rgb="FFB4C6E7"/>
      </top>
      <bottom style="thin">
        <color rgb="FF2E75B5"/>
      </bottom>
    </border>
    <border>
      <right style="thin">
        <color rgb="FF000000"/>
      </right>
      <top style="thin">
        <color rgb="FFB4C6E7"/>
      </top>
      <bottom style="thin">
        <color rgb="FF2E75B5"/>
      </bottom>
    </border>
    <border>
      <left style="thin">
        <color rgb="FF2E75B5"/>
      </left>
      <top style="thin">
        <color rgb="FF2E75B5"/>
      </top>
      <bottom style="thin">
        <color rgb="FF2E75B5"/>
      </bottom>
    </border>
    <border>
      <right style="thin">
        <color rgb="FF000000"/>
      </right>
      <top style="thin">
        <color rgb="FF2E75B5"/>
      </top>
      <bottom style="thin">
        <color rgb="FF2E75B5"/>
      </bottom>
    </border>
    <border>
      <top style="thin">
        <color rgb="FF2E75B5"/>
      </top>
    </border>
    <border>
      <right style="thin">
        <color rgb="FF000000"/>
      </right>
      <top style="thin">
        <color rgb="FF2E75B5"/>
      </top>
    </border>
    <border>
      <bottom style="thin">
        <color rgb="FFB4C6E7"/>
      </bottom>
    </border>
    <border>
      <right style="thin">
        <color rgb="FF000000"/>
      </right>
      <bottom style="thin">
        <color rgb="FFB4C6E7"/>
      </bottom>
    </border>
    <border>
      <left style="thin">
        <color rgb="FF8EAADB"/>
      </left>
      <top style="thin">
        <color rgb="FF8EAADB"/>
      </top>
      <bottom style="thin">
        <color rgb="FF8EAADB"/>
      </bottom>
    </border>
    <border>
      <right style="thin">
        <color rgb="FF8EAADB"/>
      </right>
      <top style="thin">
        <color rgb="FF8EAADB"/>
      </top>
      <bottom style="thin">
        <color rgb="FF8EAADB"/>
      </bottom>
    </border>
    <border>
      <left style="thin">
        <color rgb="FF8EAADB"/>
      </left>
      <top style="thin">
        <color rgb="FF8EAADB"/>
      </top>
    </border>
    <border>
      <right style="thin">
        <color rgb="FF8EAADB"/>
      </right>
      <top style="thin">
        <color rgb="FF8EAADB"/>
      </top>
    </border>
    <border>
      <left style="thin">
        <color rgb="FF8EAADB"/>
      </left>
      <bottom style="thin">
        <color rgb="FF8EAADB"/>
      </bottom>
    </border>
    <border>
      <right style="thin">
        <color rgb="FF8EAADB"/>
      </right>
      <bottom style="thin">
        <color rgb="FF8EAADB"/>
      </bottom>
    </border>
    <border>
      <left/>
      <right/>
      <top style="thin">
        <color rgb="FFE7E6E6"/>
      </top>
    </border>
    <border>
      <left/>
      <right/>
      <bottom style="thin">
        <color rgb="FFE7E6E6"/>
      </bottom>
    </border>
    <border>
      <left/>
      <right/>
      <top style="thin">
        <color rgb="FFE7E6E6"/>
      </top>
      <bottom/>
    </border>
    <border>
      <left style="medium">
        <color rgb="FF000000"/>
      </left>
    </border>
    <border>
      <right style="thin">
        <color rgb="FF8EAADB"/>
      </right>
    </border>
    <border>
      <left style="medium">
        <color rgb="FF000000"/>
      </left>
      <top style="thin">
        <color rgb="FF8EAADB"/>
      </top>
    </border>
    <border>
      <top style="thin">
        <color rgb="FF000000"/>
      </top>
    </border>
    <border>
      <left style="thin">
        <color rgb="FF000000"/>
      </left>
      <right style="thin">
        <color rgb="FF000000"/>
      </right>
      <top style="thin">
        <color rgb="FF000000"/>
      </top>
      <bottom/>
    </border>
    <border>
      <left style="thin">
        <color rgb="FF757070"/>
      </left>
    </border>
    <border>
      <top style="thin">
        <color rgb="FFA8D08D"/>
      </top>
    </border>
    <border>
      <left style="thin">
        <color rgb="FFFFC000"/>
      </left>
      <right/>
      <top/>
      <bottom/>
    </border>
    <border>
      <left style="thin">
        <color rgb="FF757070"/>
      </left>
      <right style="thin">
        <color rgb="FF000000"/>
      </right>
      <top style="thin">
        <color rgb="FF757070"/>
      </top>
      <bottom style="thin">
        <color rgb="FF757070"/>
      </bottom>
    </border>
    <border>
      <right style="thin">
        <color rgb="FF000000"/>
      </right>
      <top style="thin">
        <color rgb="FF757070"/>
      </top>
    </border>
    <border>
      <left style="thin">
        <color rgb="FFEAF3FA"/>
      </left>
      <right style="thin">
        <color rgb="FFEAF3FA"/>
      </right>
      <top style="thin">
        <color rgb="FFEAF3FA"/>
      </top>
      <bottom style="thin">
        <color rgb="FFEAF3FA"/>
      </bottom>
    </border>
    <border>
      <top style="thin">
        <color rgb="FFEAF3FA"/>
      </top>
    </border>
    <border>
      <right style="thin">
        <color rgb="FFEAF3FA"/>
      </right>
      <top style="thin">
        <color rgb="FFEAF3FA"/>
      </top>
    </border>
    <border>
      <left style="thin">
        <color rgb="FFDEEAF6"/>
      </left>
      <right style="thin">
        <color rgb="FF000000"/>
      </right>
      <top style="thin">
        <color rgb="FFDEEAF6"/>
      </top>
      <bottom style="thin">
        <color rgb="FFDEEAF6"/>
      </bottom>
    </border>
    <border>
      <top style="thin">
        <color rgb="FFDEEAF6"/>
      </top>
    </border>
    <border>
      <left style="thin">
        <color rgb="FFDEEAF6"/>
      </left>
      <right style="thin">
        <color rgb="FF000000"/>
      </right>
      <top style="thin">
        <color rgb="FFDEEAF6"/>
      </top>
    </border>
    <border>
      <left style="thin">
        <color rgb="FF9CC2E5"/>
      </left>
      <right style="thin">
        <color rgb="FF000000"/>
      </right>
      <top style="thin">
        <color rgb="FFDEEAF6"/>
      </top>
      <bottom style="thin">
        <color rgb="FF9CC2E5"/>
      </bottom>
    </border>
    <border>
      <left/>
      <right style="thin">
        <color rgb="FF000000"/>
      </right>
      <top/>
      <bottom style="thin">
        <color theme="0"/>
      </bottom>
    </border>
    <border>
      <right style="thin">
        <color rgb="FF000000"/>
      </right>
      <bottom style="thin">
        <color theme="0"/>
      </bottom>
    </border>
    <border>
      <left style="thin">
        <color rgb="FF2E75B5"/>
      </left>
      <right style="thin">
        <color rgb="FF000000"/>
      </right>
      <top style="thin">
        <color theme="0"/>
      </top>
      <bottom style="thin">
        <color rgb="FF2E75B5"/>
      </bottom>
    </border>
    <border>
      <top style="thin">
        <color theme="0"/>
      </top>
    </border>
    <border>
      <right style="thin">
        <color rgb="FF000000"/>
      </right>
      <top style="thin">
        <color theme="0"/>
      </top>
    </border>
    <border>
      <right style="thin">
        <color rgb="FF2E75B5"/>
      </right>
      <top style="thin">
        <color rgb="FF2E75B5"/>
      </top>
    </border>
    <border>
      <left/>
      <right style="thin">
        <color rgb="FF000000"/>
      </right>
      <top style="thin">
        <color rgb="FFBDD6EE"/>
      </top>
      <bottom/>
    </border>
    <border>
      <top style="thin">
        <color rgb="FFBDD6EE"/>
      </top>
    </border>
    <border>
      <right style="thin">
        <color rgb="FF000000"/>
      </right>
      <top style="thin">
        <color rgb="FFBDD6EE"/>
      </top>
    </border>
    <border>
      <left style="thin">
        <color rgb="FFBDD6EE"/>
      </left>
      <right style="thin">
        <color rgb="FF000000"/>
      </right>
      <top style="thin">
        <color rgb="FFBDD6EE"/>
      </top>
      <bottom style="thin">
        <color rgb="FFBDD6EE"/>
      </bottom>
    </border>
    <border>
      <top style="thin">
        <color rgb="FFB4C6E7"/>
      </top>
    </border>
    <border>
      <right style="thin">
        <color rgb="FF000000"/>
      </right>
      <top style="thin">
        <color rgb="FFB4C6E7"/>
      </top>
    </border>
    <border>
      <left style="thin">
        <color rgb="FF2E75B5"/>
      </left>
      <right style="thin">
        <color rgb="FF000000"/>
      </right>
      <top style="thin">
        <color rgb="FFB4C6E7"/>
      </top>
      <bottom style="thin">
        <color rgb="FF2E75B5"/>
      </bottom>
    </border>
    <border>
      <left style="thin">
        <color rgb="FF2E75B5"/>
      </left>
      <right style="thin">
        <color rgb="FF000000"/>
      </right>
      <top style="thin">
        <color rgb="FF2E75B5"/>
      </top>
      <bottom style="thin">
        <color rgb="FF2E75B5"/>
      </bottom>
    </border>
    <border>
      <left style="thin">
        <color rgb="FF8EAADB"/>
      </left>
      <right style="thin">
        <color rgb="FF8EAADB"/>
      </right>
      <top style="thin">
        <color rgb="FF8EAADB"/>
      </top>
      <bottom style="thin">
        <color rgb="FF8EAADB"/>
      </bottom>
    </border>
    <border>
      <top style="thin">
        <color rgb="FF8EAADB"/>
      </top>
    </border>
    <border>
      <left style="thin">
        <color rgb="FF8EAADB"/>
      </left>
    </border>
    <border>
      <bottom style="thin">
        <color rgb="FFE7E6E6"/>
      </bottom>
    </border>
    <border>
      <left style="medium">
        <color rgb="FF000000"/>
      </left>
      <right style="thin">
        <color rgb="FF8EAADB"/>
      </right>
    </border>
    <border>
      <left style="medium">
        <color rgb="FF000000"/>
      </left>
      <right style="thin">
        <color rgb="FF8EAADB"/>
      </right>
      <top style="thin">
        <color rgb="FF8EAADB"/>
      </top>
    </border>
    <border>
      <left style="thin">
        <color rgb="FF2E75B5"/>
      </left>
    </border>
  </borders>
  <cellStyleXfs count="1">
    <xf numFmtId="0" fontId="0" fillId="0" borderId="0"/>
  </cellStyleXfs>
  <cellXfs count="263">
    <xf numFmtId="0" fontId="0" fillId="0" borderId="0" applyAlignment="1" pivotButton="0" quotePrefix="0" xfId="0">
      <alignment vertical="bottom"/>
    </xf>
    <xf numFmtId="0" fontId="1" fillId="0" borderId="1" pivotButton="0" quotePrefix="0" xfId="0"/>
    <xf numFmtId="0" fontId="2" fillId="2" borderId="2" applyAlignment="1" pivotButton="0" quotePrefix="0" xfId="0">
      <alignment horizontal="center"/>
    </xf>
    <xf numFmtId="0" fontId="3" fillId="0" borderId="3" pivotButton="0" quotePrefix="0" xfId="0"/>
    <xf numFmtId="0" fontId="3" fillId="0" borderId="4" pivotButton="0" quotePrefix="0" xfId="0"/>
    <xf numFmtId="0" fontId="1" fillId="0" borderId="5" pivotButton="0" quotePrefix="0" xfId="0"/>
    <xf numFmtId="0" fontId="1" fillId="0" borderId="0" applyAlignment="1" pivotButton="0" quotePrefix="0" xfId="0">
      <alignment vertical="top"/>
    </xf>
    <xf numFmtId="0" fontId="1" fillId="0" borderId="2" applyAlignment="1" pivotButton="0" quotePrefix="0" xfId="0">
      <alignment horizontal="center" vertical="center" wrapText="1"/>
    </xf>
    <xf numFmtId="0" fontId="1" fillId="0" borderId="2" applyAlignment="1" pivotButton="0" quotePrefix="0" xfId="0">
      <alignment horizontal="left" vertical="center" wrapText="1"/>
    </xf>
    <xf numFmtId="0" fontId="1" fillId="0" borderId="6" applyAlignment="1" pivotButton="0" quotePrefix="0" xfId="0">
      <alignment horizontal="center" vertical="center"/>
    </xf>
    <xf numFmtId="0" fontId="3" fillId="0" borderId="7" pivotButton="0" quotePrefix="0" xfId="0"/>
    <xf numFmtId="0" fontId="1" fillId="0" borderId="2" applyAlignment="1" pivotButton="0" quotePrefix="0" xfId="0">
      <alignment horizontal="center" vertical="center"/>
    </xf>
    <xf numFmtId="0" fontId="1" fillId="0" borderId="8" applyAlignment="1" pivotButton="0" quotePrefix="0" xfId="0">
      <alignment horizontal="center" vertical="center"/>
    </xf>
    <xf numFmtId="0" fontId="1" fillId="0" borderId="0" applyAlignment="1" pivotButton="0" quotePrefix="0" xfId="0">
      <alignment horizontal="center"/>
    </xf>
    <xf numFmtId="0" fontId="3" fillId="0" borderId="9" pivotButton="0" quotePrefix="0" xfId="0"/>
    <xf numFmtId="0" fontId="3" fillId="0" borderId="10" pivotButton="0" quotePrefix="0" xfId="0"/>
    <xf numFmtId="0" fontId="1" fillId="0" borderId="8" applyAlignment="1" pivotButton="0" quotePrefix="0" xfId="0">
      <alignment horizontal="center" vertical="center" wrapText="1"/>
    </xf>
    <xf numFmtId="10" fontId="1" fillId="0" borderId="0" applyAlignment="1" pivotButton="0" quotePrefix="0" xfId="0">
      <alignment horizontal="center"/>
    </xf>
    <xf numFmtId="10" fontId="1" fillId="0" borderId="8" applyAlignment="1" pivotButton="0" quotePrefix="0" xfId="0">
      <alignment horizontal="center" vertical="center"/>
    </xf>
    <xf numFmtId="0" fontId="4" fillId="0" borderId="0" pivotButton="0" quotePrefix="0" xfId="0"/>
    <xf numFmtId="0" fontId="2" fillId="2" borderId="11" applyAlignment="1" pivotButton="0" quotePrefix="0" xfId="0">
      <alignment horizontal="center"/>
    </xf>
    <xf numFmtId="0" fontId="3" fillId="0" borderId="12" pivotButton="0" quotePrefix="0" xfId="0"/>
    <xf numFmtId="0" fontId="2" fillId="2" borderId="13" applyAlignment="1" pivotButton="0" quotePrefix="0" xfId="0">
      <alignment horizontal="center"/>
    </xf>
    <xf numFmtId="0" fontId="3" fillId="0" borderId="14" pivotButton="0" quotePrefix="0" xfId="0"/>
    <xf numFmtId="0" fontId="1" fillId="0" borderId="2" applyAlignment="1" pivotButton="0" quotePrefix="0" xfId="0">
      <alignment horizontal="center"/>
    </xf>
    <xf numFmtId="0" fontId="1" fillId="0" borderId="2" applyAlignment="1" pivotButton="0" quotePrefix="0" xfId="0">
      <alignment horizontal="left" vertical="center"/>
    </xf>
    <xf numFmtId="0" fontId="2" fillId="2" borderId="8" applyAlignment="1" pivotButton="0" quotePrefix="0" xfId="0">
      <alignment horizontal="center" vertical="center" wrapText="1"/>
    </xf>
    <xf numFmtId="0" fontId="1" fillId="0" borderId="8" applyAlignment="1" pivotButton="0" quotePrefix="0" xfId="0">
      <alignment horizontal="left" vertical="center" wrapText="1"/>
    </xf>
    <xf numFmtId="0" fontId="2" fillId="2" borderId="15" applyAlignment="1" pivotButton="0" quotePrefix="0" xfId="0">
      <alignment vertical="center" wrapText="1"/>
    </xf>
    <xf numFmtId="0" fontId="1" fillId="0" borderId="8" applyAlignment="1" pivotButton="0" quotePrefix="0" xfId="0">
      <alignment vertical="center" wrapText="1"/>
    </xf>
    <xf numFmtId="0" fontId="1" fillId="0" borderId="8" applyAlignment="1" pivotButton="0" quotePrefix="0" xfId="0">
      <alignment wrapText="1"/>
    </xf>
    <xf numFmtId="0" fontId="5" fillId="3" borderId="16" applyAlignment="1" pivotButton="0" quotePrefix="0" xfId="0">
      <alignment horizontal="center" vertical="center"/>
    </xf>
    <xf numFmtId="0" fontId="1" fillId="0" borderId="17" pivotButton="0" quotePrefix="0" xfId="0"/>
    <xf numFmtId="0" fontId="6" fillId="0" borderId="0" pivotButton="0" quotePrefix="0" xfId="0"/>
    <xf numFmtId="0" fontId="7" fillId="0" borderId="0" pivotButton="0" quotePrefix="0" xfId="0"/>
    <xf numFmtId="0" fontId="6" fillId="0" borderId="0" applyAlignment="1" pivotButton="0" quotePrefix="0" xfId="0">
      <alignment horizontal="left"/>
    </xf>
    <xf numFmtId="0" fontId="8" fillId="0" borderId="0" pivotButton="0" quotePrefix="0" xfId="0"/>
    <xf numFmtId="0" fontId="9" fillId="4" borderId="18" applyAlignment="1" pivotButton="0" quotePrefix="0" xfId="0">
      <alignment horizontal="center" vertical="center"/>
    </xf>
    <xf numFmtId="0" fontId="3" fillId="0" borderId="19" pivotButton="0" quotePrefix="0" xfId="0"/>
    <xf numFmtId="0" fontId="3" fillId="0" borderId="20" pivotButton="0" quotePrefix="0" xfId="0"/>
    <xf numFmtId="0" fontId="9" fillId="4" borderId="21" applyAlignment="1" pivotButton="0" quotePrefix="0" xfId="0">
      <alignment horizontal="center" vertical="center"/>
    </xf>
    <xf numFmtId="0" fontId="10" fillId="5" borderId="22" applyAlignment="1" pivotButton="0" quotePrefix="0" xfId="0">
      <alignment horizontal="center" vertical="center"/>
    </xf>
    <xf numFmtId="0" fontId="3" fillId="0" borderId="23" pivotButton="0" quotePrefix="0" xfId="0"/>
    <xf numFmtId="0" fontId="9" fillId="0" borderId="0" pivotButton="0" quotePrefix="0" xfId="0"/>
    <xf numFmtId="0" fontId="9" fillId="4" borderId="24" applyAlignment="1" pivotButton="0" quotePrefix="0" xfId="0">
      <alignment horizontal="center" vertical="center"/>
    </xf>
    <xf numFmtId="0" fontId="9" fillId="4" borderId="25" applyAlignment="1" pivotButton="0" quotePrefix="0" xfId="0">
      <alignment horizontal="center" vertical="center"/>
    </xf>
    <xf numFmtId="0" fontId="3" fillId="0" borderId="26" pivotButton="0" quotePrefix="0" xfId="0"/>
    <xf numFmtId="0" fontId="9" fillId="0" borderId="0" applyAlignment="1" pivotButton="0" quotePrefix="0" xfId="0">
      <alignment horizontal="center" vertical="center"/>
    </xf>
    <xf numFmtId="0" fontId="1" fillId="0" borderId="27" pivotButton="0" quotePrefix="0" xfId="0"/>
    <xf numFmtId="0" fontId="1" fillId="0" borderId="28" pivotButton="0" quotePrefix="0" xfId="0"/>
    <xf numFmtId="0" fontId="1" fillId="0" borderId="19" pivotButton="0" quotePrefix="0" xfId="0"/>
    <xf numFmtId="0" fontId="1" fillId="0" borderId="29" pivotButton="0" quotePrefix="0" xfId="0"/>
    <xf numFmtId="0" fontId="11" fillId="5" borderId="30" applyAlignment="1" pivotButton="0" quotePrefix="0" xfId="0">
      <alignment horizontal="center" vertical="center"/>
    </xf>
    <xf numFmtId="0" fontId="12" fillId="0" borderId="31" applyAlignment="1" pivotButton="0" quotePrefix="0" xfId="0">
      <alignment horizontal="left" vertical="center" wrapText="1"/>
    </xf>
    <xf numFmtId="0" fontId="13" fillId="0" borderId="0" applyAlignment="1" pivotButton="0" quotePrefix="0" xfId="0">
      <alignment vertical="center" wrapText="1"/>
    </xf>
    <xf numFmtId="0" fontId="1" fillId="0" borderId="21" pivotButton="0" quotePrefix="0" xfId="0"/>
    <xf numFmtId="0" fontId="1" fillId="0" borderId="32" pivotButton="0" quotePrefix="0" xfId="0"/>
    <xf numFmtId="0" fontId="1" fillId="0" borderId="8" pivotButton="0" quotePrefix="0" xfId="0"/>
    <xf numFmtId="0" fontId="1" fillId="0" borderId="8" applyAlignment="1" pivotButton="0" quotePrefix="0" xfId="0">
      <alignment horizontal="right" vertical="center"/>
    </xf>
    <xf numFmtId="0" fontId="12" fillId="0" borderId="33" applyAlignment="1" pivotButton="0" quotePrefix="0" xfId="0">
      <alignment horizontal="left" vertical="center" wrapText="1"/>
    </xf>
    <xf numFmtId="0" fontId="1" fillId="0" borderId="24" pivotButton="0" quotePrefix="0" xfId="0"/>
    <xf numFmtId="0" fontId="1" fillId="0" borderId="20" pivotButton="0" quotePrefix="0" xfId="0"/>
    <xf numFmtId="10" fontId="1" fillId="0" borderId="8" applyAlignment="1" pivotButton="0" quotePrefix="0" xfId="0">
      <alignment horizontal="right" vertical="center"/>
    </xf>
    <xf numFmtId="0" fontId="1" fillId="0" borderId="34" pivotButton="0" quotePrefix="0" xfId="0"/>
    <xf numFmtId="0" fontId="12" fillId="6" borderId="35" applyAlignment="1" pivotButton="0" quotePrefix="0" xfId="0">
      <alignment horizontal="left" vertical="center" wrapText="1"/>
    </xf>
    <xf numFmtId="0" fontId="14" fillId="0" borderId="8" applyAlignment="1" pivotButton="0" quotePrefix="0" xfId="0">
      <alignment horizontal="left" vertical="top" wrapText="1"/>
    </xf>
    <xf numFmtId="0" fontId="14" fillId="0" borderId="8" applyAlignment="1" pivotButton="0" quotePrefix="0" xfId="0">
      <alignment horizontal="left" wrapText="1"/>
    </xf>
    <xf numFmtId="0" fontId="15" fillId="0" borderId="36" applyAlignment="1" pivotButton="0" quotePrefix="0" xfId="0">
      <alignment horizontal="left" vertical="top" wrapText="1"/>
    </xf>
    <xf numFmtId="0" fontId="15" fillId="0" borderId="8" applyAlignment="1" pivotButton="0" quotePrefix="0" xfId="0">
      <alignment horizontal="left" vertical="top" wrapText="1"/>
    </xf>
    <xf numFmtId="0" fontId="15" fillId="0" borderId="37" applyAlignment="1" pivotButton="0" quotePrefix="0" xfId="0">
      <alignment horizontal="left" vertical="top" wrapText="1"/>
    </xf>
    <xf numFmtId="0" fontId="11" fillId="5" borderId="38" applyAlignment="1" pivotButton="0" quotePrefix="0" xfId="0">
      <alignment horizontal="center" vertical="center"/>
    </xf>
    <xf numFmtId="0" fontId="1" fillId="0" borderId="37" pivotButton="0" quotePrefix="0" xfId="0"/>
    <xf numFmtId="0" fontId="14" fillId="0" borderId="37" applyAlignment="1" pivotButton="0" quotePrefix="0" xfId="0">
      <alignment horizontal="left" wrapText="1"/>
    </xf>
    <xf numFmtId="0" fontId="14" fillId="0" borderId="37" pivotButton="0" quotePrefix="0" xfId="0"/>
    <xf numFmtId="0" fontId="14" fillId="0" borderId="8" pivotButton="0" quotePrefix="0" xfId="0"/>
    <xf numFmtId="0" fontId="1" fillId="0" borderId="39" pivotButton="0" quotePrefix="0" xfId="0"/>
    <xf numFmtId="0" fontId="1" fillId="0" borderId="40" pivotButton="0" quotePrefix="0" xfId="0"/>
    <xf numFmtId="0" fontId="1" fillId="0" borderId="0" applyAlignment="1" pivotButton="0" quotePrefix="0" xfId="0">
      <alignment wrapText="1"/>
    </xf>
    <xf numFmtId="0" fontId="11" fillId="5" borderId="41" applyAlignment="1" pivotButton="0" quotePrefix="0" xfId="0">
      <alignment horizontal="center" vertical="center" wrapText="1"/>
    </xf>
    <xf numFmtId="0" fontId="1" fillId="0" borderId="37" applyAlignment="1" pivotButton="0" quotePrefix="0" xfId="0">
      <alignment wrapText="1"/>
    </xf>
    <xf numFmtId="0" fontId="1" fillId="0" borderId="4" applyAlignment="1" pivotButton="0" quotePrefix="0" xfId="0">
      <alignment wrapText="1"/>
    </xf>
    <xf numFmtId="0" fontId="14" fillId="0" borderId="8" applyAlignment="1" pivotButton="0" quotePrefix="0" xfId="0">
      <alignment wrapText="1"/>
    </xf>
    <xf numFmtId="0" fontId="11" fillId="5" borderId="41" applyAlignment="1" pivotButton="0" quotePrefix="0" xfId="0">
      <alignment horizontal="center" vertical="center"/>
    </xf>
    <xf numFmtId="0" fontId="14" fillId="0" borderId="8" applyAlignment="1" pivotButton="0" quotePrefix="0" xfId="0">
      <alignment vertical="top" wrapText="1"/>
    </xf>
    <xf numFmtId="0" fontId="14" fillId="0" borderId="37" applyAlignment="1" pivotButton="0" quotePrefix="0" xfId="0">
      <alignment wrapText="1"/>
    </xf>
    <xf numFmtId="0" fontId="3" fillId="0" borderId="42" pivotButton="0" quotePrefix="0" xfId="0"/>
    <xf numFmtId="0" fontId="1" fillId="0" borderId="4" pivotButton="0" quotePrefix="0" xfId="0"/>
    <xf numFmtId="0" fontId="12" fillId="0" borderId="8" applyAlignment="1" pivotButton="0" quotePrefix="0" xfId="0">
      <alignment horizontal="left" wrapText="1"/>
    </xf>
    <xf numFmtId="0" fontId="1" fillId="0" borderId="36" pivotButton="0" quotePrefix="0" xfId="0"/>
    <xf numFmtId="0" fontId="12" fillId="0" borderId="37" applyAlignment="1" pivotButton="0" quotePrefix="0" xfId="0">
      <alignment horizontal="left" wrapText="1"/>
    </xf>
    <xf numFmtId="0" fontId="1" fillId="0" borderId="7" pivotButton="0" quotePrefix="0" xfId="0"/>
    <xf numFmtId="0" fontId="12" fillId="0" borderId="8" applyAlignment="1" pivotButton="0" quotePrefix="0" xfId="0">
      <alignment horizontal="left"/>
    </xf>
    <xf numFmtId="0" fontId="12" fillId="0" borderId="43" applyAlignment="1" pivotButton="0" quotePrefix="0" xfId="0">
      <alignment horizontal="left"/>
    </xf>
    <xf numFmtId="0" fontId="1" fillId="0" borderId="44" pivotButton="0" quotePrefix="0" xfId="0"/>
    <xf numFmtId="0" fontId="1" fillId="0" borderId="2" pivotButton="0" quotePrefix="0" xfId="0"/>
    <xf numFmtId="0" fontId="1" fillId="0" borderId="45" pivotButton="0" quotePrefix="0" xfId="0"/>
    <xf numFmtId="0" fontId="12" fillId="0" borderId="36" applyAlignment="1" pivotButton="0" quotePrefix="0" xfId="0">
      <alignment horizontal="left" wrapText="1"/>
    </xf>
    <xf numFmtId="0" fontId="12" fillId="0" borderId="8" applyAlignment="1" pivotButton="0" quotePrefix="0" xfId="0">
      <alignment wrapText="1"/>
    </xf>
    <xf numFmtId="0" fontId="12" fillId="0" borderId="37" applyAlignment="1" pivotButton="0" quotePrefix="0" xfId="0">
      <alignment wrapText="1"/>
    </xf>
    <xf numFmtId="0" fontId="12" fillId="0" borderId="36" applyAlignment="1" pivotButton="0" quotePrefix="0" xfId="0">
      <alignment wrapText="1"/>
    </xf>
    <xf numFmtId="0" fontId="14" fillId="0" borderId="0" pivotButton="0" quotePrefix="0" xfId="0"/>
    <xf numFmtId="0" fontId="11" fillId="5" borderId="8" applyAlignment="1" pivotButton="0" quotePrefix="0" xfId="0">
      <alignment horizontal="center" vertical="center"/>
    </xf>
    <xf numFmtId="0" fontId="12" fillId="0" borderId="8" applyAlignment="1" pivotButton="0" quotePrefix="0" xfId="0">
      <alignment horizontal="left" vertical="center" wrapText="1"/>
    </xf>
    <xf numFmtId="0" fontId="13" fillId="0" borderId="0" applyAlignment="1" pivotButton="0" quotePrefix="0" xfId="0">
      <alignment horizontal="left" vertical="center" wrapText="1"/>
    </xf>
    <xf numFmtId="0" fontId="1" fillId="0" borderId="8" applyAlignment="1" pivotButton="0" quotePrefix="0" xfId="0">
      <alignment horizontal="left"/>
    </xf>
    <xf numFmtId="0" fontId="1" fillId="0" borderId="0" applyAlignment="1" pivotButton="0" quotePrefix="0" xfId="0">
      <alignment horizontal="left"/>
    </xf>
    <xf numFmtId="0" fontId="14" fillId="0" borderId="8" applyAlignment="1" pivotButton="0" quotePrefix="0" xfId="0">
      <alignment horizontal="left"/>
    </xf>
    <xf numFmtId="0" fontId="14" fillId="0" borderId="37" applyAlignment="1" pivotButton="0" quotePrefix="0" xfId="0">
      <alignment horizontal="left"/>
    </xf>
    <xf numFmtId="0" fontId="1" fillId="0" borderId="37" applyAlignment="1" pivotButton="0" quotePrefix="0" xfId="0">
      <alignment horizontal="center" vertical="center"/>
    </xf>
    <xf numFmtId="0" fontId="1" fillId="0" borderId="37" applyAlignment="1" pivotButton="0" quotePrefix="0" xfId="0">
      <alignment horizontal="left"/>
    </xf>
    <xf numFmtId="0" fontId="11" fillId="5" borderId="46" applyAlignment="1" pivotButton="0" quotePrefix="0" xfId="0">
      <alignment horizontal="center" vertical="center"/>
    </xf>
    <xf numFmtId="0" fontId="14" fillId="0" borderId="37" applyAlignment="1" pivotButton="0" quotePrefix="0" xfId="0">
      <alignment horizontal="left" vertical="top" wrapText="1"/>
    </xf>
    <xf numFmtId="0" fontId="14" fillId="0" borderId="36" applyAlignment="1" pivotButton="0" quotePrefix="0" xfId="0">
      <alignment horizontal="left" vertical="top" wrapText="1"/>
    </xf>
    <xf numFmtId="0" fontId="1" fillId="0" borderId="26" pivotButton="0" quotePrefix="0" xfId="0"/>
    <xf numFmtId="0" fontId="1" fillId="0" borderId="47" pivotButton="0" quotePrefix="0" xfId="0"/>
    <xf numFmtId="0" fontId="14" fillId="0" borderId="29" pivotButton="0" quotePrefix="0" xfId="0"/>
    <xf numFmtId="0" fontId="12" fillId="0" borderId="0" applyAlignment="1" pivotButton="0" quotePrefix="0" xfId="0">
      <alignment vertical="center" wrapText="1"/>
    </xf>
    <xf numFmtId="0" fontId="14" fillId="0" borderId="8" applyAlignment="1" pivotButton="0" quotePrefix="0" xfId="0">
      <alignment horizontal="right" vertical="center"/>
    </xf>
    <xf numFmtId="0" fontId="14" fillId="0" borderId="8" applyAlignment="1" pivotButton="0" quotePrefix="0" xfId="0">
      <alignment vertical="center" wrapText="1"/>
    </xf>
    <xf numFmtId="10" fontId="14" fillId="0" borderId="8" applyAlignment="1" pivotButton="0" quotePrefix="0" xfId="0">
      <alignment horizontal="right" vertical="center"/>
    </xf>
    <xf numFmtId="0" fontId="1" fillId="6" borderId="48" pivotButton="0" quotePrefix="0" xfId="0"/>
    <xf numFmtId="0" fontId="2" fillId="0" borderId="0" pivotButton="0" quotePrefix="0" xfId="0"/>
    <xf numFmtId="0" fontId="3" fillId="0" borderId="49" pivotButton="0" quotePrefix="0" xfId="0"/>
    <xf numFmtId="0" fontId="1" fillId="6" borderId="50" pivotButton="0" quotePrefix="0" xfId="0"/>
    <xf numFmtId="0" fontId="6" fillId="7" borderId="48" pivotButton="0" quotePrefix="0" xfId="0"/>
    <xf numFmtId="0" fontId="6" fillId="6" borderId="48"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vertical="center"/>
    </xf>
    <xf numFmtId="0" fontId="3" fillId="0" borderId="51" pivotButton="0" quotePrefix="0" xfId="0"/>
    <xf numFmtId="0" fontId="16" fillId="8" borderId="52" applyAlignment="1" pivotButton="0" quotePrefix="0" xfId="0">
      <alignment horizontal="center" vertical="center"/>
    </xf>
    <xf numFmtId="0" fontId="3" fillId="0" borderId="53" pivotButton="0" quotePrefix="0" xfId="0"/>
    <xf numFmtId="0" fontId="3" fillId="0" borderId="54" pivotButton="0" quotePrefix="0" xfId="0"/>
    <xf numFmtId="0" fontId="9" fillId="0" borderId="55" pivotButton="0" quotePrefix="0" xfId="0"/>
    <xf numFmtId="0" fontId="1" fillId="0" borderId="0" pivotButton="0" quotePrefix="0" xfId="0"/>
    <xf numFmtId="0" fontId="17" fillId="9" borderId="56" applyAlignment="1" pivotButton="0" quotePrefix="0" xfId="0">
      <alignment horizontal="center" vertical="center"/>
    </xf>
    <xf numFmtId="0" fontId="11" fillId="9" borderId="57" applyAlignment="1" pivotButton="0" quotePrefix="0" xfId="0">
      <alignment vertical="center" wrapText="1"/>
    </xf>
    <xf numFmtId="0" fontId="3" fillId="0" borderId="58" pivotButton="0" quotePrefix="0" xfId="0"/>
    <xf numFmtId="0" fontId="13" fillId="0" borderId="59" applyAlignment="1" pivotButton="0" quotePrefix="0" xfId="0">
      <alignment vertical="center" wrapText="1"/>
    </xf>
    <xf numFmtId="0" fontId="11" fillId="9" borderId="60" applyAlignment="1" pivotButton="0" quotePrefix="0" xfId="0">
      <alignment horizontal="center" vertical="center"/>
    </xf>
    <xf numFmtId="0" fontId="18" fillId="0" borderId="61" applyAlignment="1" pivotButton="0" quotePrefix="0" xfId="0">
      <alignment vertical="center" wrapText="1"/>
    </xf>
    <xf numFmtId="0" fontId="3" fillId="0" borderId="62" pivotButton="0" quotePrefix="0" xfId="0"/>
    <xf numFmtId="0" fontId="1" fillId="0" borderId="63" pivotButton="0" quotePrefix="0" xfId="0"/>
    <xf numFmtId="0" fontId="11" fillId="9" borderId="64" applyAlignment="1" pivotButton="0" quotePrefix="0" xfId="0">
      <alignment horizontal="center" vertical="center"/>
    </xf>
    <xf numFmtId="0" fontId="11" fillId="9" borderId="65" applyAlignment="1" pivotButton="0" quotePrefix="0" xfId="0">
      <alignment vertical="center" wrapText="1"/>
    </xf>
    <xf numFmtId="0" fontId="3" fillId="0" borderId="66" pivotButton="0" quotePrefix="0" xfId="0"/>
    <xf numFmtId="0" fontId="13" fillId="0" borderId="67" applyAlignment="1" pivotButton="0" quotePrefix="0" xfId="0">
      <alignment vertical="center" wrapText="1"/>
    </xf>
    <xf numFmtId="0" fontId="11" fillId="9" borderId="68" applyAlignment="1" pivotButton="0" quotePrefix="0" xfId="0">
      <alignment horizontal="center" vertical="center"/>
    </xf>
    <xf numFmtId="0" fontId="19" fillId="0" borderId="69" applyAlignment="1" pivotButton="0" quotePrefix="0" xfId="0">
      <alignment horizontal="center" vertical="center" wrapText="1"/>
    </xf>
    <xf numFmtId="0" fontId="3" fillId="0" borderId="70" pivotButton="0" quotePrefix="0" xfId="0"/>
    <xf numFmtId="0" fontId="11" fillId="9" borderId="71" applyAlignment="1" pivotButton="0" quotePrefix="0" xfId="0">
      <alignment horizontal="center" vertical="center"/>
    </xf>
    <xf numFmtId="0" fontId="11" fillId="9" borderId="72" applyAlignment="1" pivotButton="0" quotePrefix="0" xfId="0">
      <alignment vertical="center" wrapText="1"/>
    </xf>
    <xf numFmtId="0" fontId="3" fillId="0" borderId="73" pivotButton="0" quotePrefix="0" xfId="0"/>
    <xf numFmtId="0" fontId="1" fillId="0" borderId="74" pivotButton="0" quotePrefix="0" xfId="0"/>
    <xf numFmtId="0" fontId="1" fillId="0" borderId="75" pivotButton="0" quotePrefix="0" xfId="0"/>
    <xf numFmtId="0" fontId="11" fillId="9" borderId="76" applyAlignment="1" pivotButton="0" quotePrefix="0" xfId="0">
      <alignment horizontal="center" vertical="center"/>
    </xf>
    <xf numFmtId="0" fontId="18" fillId="0" borderId="77" applyAlignment="1" pivotButton="0" quotePrefix="0" xfId="0">
      <alignment vertical="center" wrapText="1"/>
    </xf>
    <xf numFmtId="0" fontId="3" fillId="0" borderId="78" pivotButton="0" quotePrefix="0" xfId="0"/>
    <xf numFmtId="0" fontId="18" fillId="0" borderId="79" applyAlignment="1" pivotButton="0" quotePrefix="0" xfId="0">
      <alignment horizontal="left" vertical="center" wrapText="1"/>
    </xf>
    <xf numFmtId="0" fontId="3" fillId="0" borderId="80" pivotButton="0" quotePrefix="0" xfId="0"/>
    <xf numFmtId="0" fontId="11" fillId="9" borderId="81" applyAlignment="1" pivotButton="0" quotePrefix="0" xfId="0">
      <alignment horizontal="center" vertical="center"/>
    </xf>
    <xf numFmtId="0" fontId="11" fillId="9" borderId="82" applyAlignment="1" pivotButton="0" quotePrefix="0" xfId="0">
      <alignment vertical="center" wrapText="1"/>
    </xf>
    <xf numFmtId="0" fontId="3" fillId="0" borderId="83" pivotButton="0" quotePrefix="0" xfId="0"/>
    <xf numFmtId="0" fontId="1" fillId="0" borderId="84" pivotButton="0" quotePrefix="0" xfId="0"/>
    <xf numFmtId="0" fontId="11" fillId="9" borderId="48" applyAlignment="1" pivotButton="0" quotePrefix="0" xfId="0">
      <alignment horizontal="center" vertical="center"/>
    </xf>
    <xf numFmtId="0" fontId="18" fillId="0" borderId="85" applyAlignment="1" pivotButton="0" quotePrefix="0" xfId="0">
      <alignment horizontal="center" vertical="center" wrapText="1"/>
    </xf>
    <xf numFmtId="0" fontId="3" fillId="0" borderId="86" pivotButton="0" quotePrefix="0" xfId="0"/>
    <xf numFmtId="0" fontId="18" fillId="0" borderId="87" applyAlignment="1" pivotButton="0" quotePrefix="0" xfId="0">
      <alignment vertical="center" wrapText="1"/>
    </xf>
    <xf numFmtId="0" fontId="18" fillId="0" borderId="87" applyAlignment="1" pivotButton="0" quotePrefix="0" xfId="0">
      <alignment horizontal="left" vertical="center" wrapText="1"/>
    </xf>
    <xf numFmtId="0" fontId="18" fillId="0" borderId="87" applyAlignment="1" pivotButton="0" quotePrefix="0" xfId="0">
      <alignment horizontal="center" vertical="center" wrapText="1"/>
    </xf>
    <xf numFmtId="164" fontId="18" fillId="0" borderId="87" applyAlignment="1" pivotButton="0" quotePrefix="0" xfId="0">
      <alignment horizontal="left" vertical="center" wrapText="1"/>
    </xf>
    <xf numFmtId="0" fontId="11" fillId="9" borderId="88" applyAlignment="1" pivotButton="0" quotePrefix="0" xfId="0">
      <alignment horizontal="center" vertical="center"/>
    </xf>
    <xf numFmtId="0" fontId="11" fillId="9" borderId="77" applyAlignment="1" pivotButton="0" quotePrefix="0" xfId="0">
      <alignment vertical="center" wrapText="1"/>
    </xf>
    <xf numFmtId="0" fontId="11" fillId="9" borderId="89" applyAlignment="1" pivotButton="0" quotePrefix="0" xfId="0">
      <alignment horizontal="center" vertical="center"/>
    </xf>
    <xf numFmtId="164" fontId="18" fillId="0" borderId="90" applyAlignment="1" pivotButton="0" quotePrefix="0" xfId="0">
      <alignment horizontal="center" vertical="center" wrapText="1"/>
    </xf>
    <xf numFmtId="0" fontId="3" fillId="0" borderId="91" pivotButton="0" quotePrefix="0" xfId="0"/>
    <xf numFmtId="0" fontId="11" fillId="9" borderId="92" applyAlignment="1" pivotButton="0" quotePrefix="0" xfId="0">
      <alignment horizontal="center" vertical="center"/>
    </xf>
    <xf numFmtId="164" fontId="18" fillId="0" borderId="90" applyAlignment="1" pivotButton="0" quotePrefix="0" xfId="0">
      <alignment horizontal="left" vertical="center" wrapText="1"/>
    </xf>
    <xf numFmtId="164" fontId="18" fillId="0" borderId="93" applyAlignment="1" pivotButton="0" quotePrefix="0" xfId="0">
      <alignment horizontal="left" vertical="center" wrapText="1"/>
    </xf>
    <xf numFmtId="0" fontId="3" fillId="0" borderId="94" pivotButton="0" quotePrefix="0" xfId="0"/>
    <xf numFmtId="0" fontId="11" fillId="6" borderId="95" applyAlignment="1" pivotButton="0" quotePrefix="0" xfId="0">
      <alignment vertical="center" wrapText="1"/>
    </xf>
    <xf numFmtId="0" fontId="3" fillId="0" borderId="96" pivotButton="0" quotePrefix="0" xfId="0"/>
    <xf numFmtId="0" fontId="11" fillId="9" borderId="97" applyAlignment="1" pivotButton="0" quotePrefix="0" xfId="0">
      <alignment vertical="center" wrapText="1"/>
    </xf>
    <xf numFmtId="0" fontId="3" fillId="0" borderId="98" pivotButton="0" quotePrefix="0" xfId="0"/>
    <xf numFmtId="164" fontId="18" fillId="0" borderId="99" applyAlignment="1" pivotButton="0" quotePrefix="0" xfId="0">
      <alignment vertical="center" wrapText="1"/>
    </xf>
    <xf numFmtId="0" fontId="3" fillId="0" borderId="100" pivotButton="0" quotePrefix="0" xfId="0"/>
    <xf numFmtId="164" fontId="18" fillId="0" borderId="0" applyAlignment="1" pivotButton="0" quotePrefix="0" xfId="0">
      <alignment vertical="center" wrapText="1"/>
    </xf>
    <xf numFmtId="0" fontId="3" fillId="0" borderId="1" pivotButton="0" quotePrefix="0" xfId="0"/>
    <xf numFmtId="164" fontId="18" fillId="0" borderId="101" applyAlignment="1" pivotButton="0" quotePrefix="0" xfId="0">
      <alignment vertical="center" wrapText="1"/>
    </xf>
    <xf numFmtId="0" fontId="3" fillId="0" borderId="102" pivotButton="0" quotePrefix="0" xfId="0"/>
    <xf numFmtId="164" fontId="18" fillId="0" borderId="93" applyAlignment="1" pivotButton="0" quotePrefix="0" xfId="0">
      <alignment vertical="center" wrapText="1"/>
    </xf>
    <xf numFmtId="0" fontId="11" fillId="9" borderId="95" applyAlignment="1" pivotButton="0" quotePrefix="0" xfId="0">
      <alignment vertical="center" wrapText="1"/>
    </xf>
    <xf numFmtId="164" fontId="18" fillId="0" borderId="103" applyAlignment="1" pivotButton="0" quotePrefix="0" xfId="0">
      <alignment horizontal="left" vertical="center" wrapText="1"/>
    </xf>
    <xf numFmtId="0" fontId="3" fillId="0" borderId="104" pivotButton="0" quotePrefix="0" xfId="0"/>
    <xf numFmtId="0" fontId="11" fillId="9" borderId="103" applyAlignment="1" pivotButton="0" quotePrefix="0" xfId="0">
      <alignment vertical="center" wrapText="1"/>
    </xf>
    <xf numFmtId="164" fontId="18" fillId="0" borderId="103" applyAlignment="1" pivotButton="0" quotePrefix="0" xfId="0">
      <alignment horizontal="center" vertical="center" wrapText="1"/>
    </xf>
    <xf numFmtId="0" fontId="20" fillId="0" borderId="103" applyAlignment="1" pivotButton="0" quotePrefix="0" xfId="0">
      <alignment horizontal="left" vertical="center" wrapText="1" readingOrder="1"/>
    </xf>
    <xf numFmtId="0" fontId="21" fillId="0" borderId="8" pivotButton="0" quotePrefix="0" xfId="0"/>
    <xf numFmtId="0" fontId="1" fillId="0" borderId="103" applyAlignment="1" pivotButton="0" quotePrefix="0" xfId="0">
      <alignment horizontal="center"/>
    </xf>
    <xf numFmtId="0" fontId="22" fillId="0" borderId="103" applyAlignment="1" pivotButton="0" quotePrefix="0" xfId="0">
      <alignment horizontal="center" vertical="center" wrapText="1" readingOrder="1"/>
    </xf>
    <xf numFmtId="0" fontId="22" fillId="0" borderId="103" applyAlignment="1" pivotButton="0" quotePrefix="0" xfId="0">
      <alignment horizontal="left" vertical="center" wrapText="1" readingOrder="1"/>
    </xf>
    <xf numFmtId="0" fontId="22" fillId="0" borderId="105" applyAlignment="1" pivotButton="0" quotePrefix="0" xfId="0">
      <alignment horizontal="center" vertical="center" wrapText="1" readingOrder="1"/>
    </xf>
    <xf numFmtId="0" fontId="3" fillId="0" borderId="106" pivotButton="0" quotePrefix="0" xfId="0"/>
    <xf numFmtId="0" fontId="1" fillId="0" borderId="1" applyAlignment="1" pivotButton="0" quotePrefix="0" xfId="0">
      <alignment horizontal="center"/>
    </xf>
    <xf numFmtId="0" fontId="1" fillId="0" borderId="37" applyAlignment="1" pivotButton="0" quotePrefix="0" xfId="0">
      <alignment horizontal="center"/>
    </xf>
    <xf numFmtId="0" fontId="3" fillId="0" borderId="107" pivotButton="0" quotePrefix="0" xfId="0"/>
    <xf numFmtId="0" fontId="3" fillId="0" borderId="108" pivotButton="0" quotePrefix="0" xfId="0"/>
    <xf numFmtId="0" fontId="3" fillId="0" borderId="36" pivotButton="0" quotePrefix="0" xfId="0"/>
    <xf numFmtId="0" fontId="11" fillId="9" borderId="109" applyAlignment="1" pivotButton="0" quotePrefix="0" xfId="0">
      <alignment horizontal="center" vertical="center"/>
    </xf>
    <xf numFmtId="0" fontId="3" fillId="0" borderId="110" pivotButton="0" quotePrefix="0" xfId="0"/>
    <xf numFmtId="0" fontId="11" fillId="9" borderId="111" applyAlignment="1" pivotButton="0" quotePrefix="0" xfId="0">
      <alignment horizontal="center" vertical="center"/>
    </xf>
    <xf numFmtId="0" fontId="23" fillId="0" borderId="112" applyAlignment="1" pivotButton="0" quotePrefix="0" xfId="0">
      <alignment horizontal="center" vertical="center" wrapText="1" readingOrder="1"/>
    </xf>
    <xf numFmtId="0" fontId="3" fillId="0" borderId="113" pivotButton="0" quotePrefix="0" xfId="0"/>
    <xf numFmtId="0" fontId="11" fillId="9" borderId="48" applyAlignment="1" pivotButton="0" quotePrefix="0" xfId="0">
      <alignment vertical="center"/>
    </xf>
    <xf numFmtId="0" fontId="23" fillId="0" borderId="114" applyAlignment="1" pivotButton="0" quotePrefix="0" xfId="0">
      <alignment horizontal="center" vertical="center" wrapText="1" readingOrder="1"/>
    </xf>
    <xf numFmtId="0" fontId="3" fillId="0" borderId="112" pivotButton="0" quotePrefix="0" xfId="0"/>
    <xf numFmtId="0" fontId="0" fillId="0" borderId="0" pivotButton="0" quotePrefix="0" xfId="0"/>
    <xf numFmtId="0" fontId="0" fillId="0" borderId="3" pivotButton="0" quotePrefix="0" xfId="0"/>
    <xf numFmtId="0" fontId="2" fillId="2" borderId="8" applyAlignment="1" pivotButton="0" quotePrefix="0" xfId="0">
      <alignment horizontal="center"/>
    </xf>
    <xf numFmtId="0" fontId="0" fillId="0" borderId="4" pivotButton="0" quotePrefix="0" xfId="0"/>
    <xf numFmtId="0" fontId="1" fillId="0" borderId="8" applyAlignment="1" pivotButton="0" quotePrefix="0" xfId="0">
      <alignment horizontal="center" vertical="center" wrapText="1"/>
    </xf>
    <xf numFmtId="0" fontId="1" fillId="0" borderId="8" applyAlignment="1" pivotButton="0" quotePrefix="0" xfId="0">
      <alignment horizontal="left" vertical="center" wrapText="1"/>
    </xf>
    <xf numFmtId="0" fontId="0" fillId="0" borderId="7" pivotButton="0" quotePrefix="0" xfId="0"/>
    <xf numFmtId="0" fontId="1" fillId="0" borderId="8" applyAlignment="1" pivotButton="0" quotePrefix="0" xfId="0">
      <alignment horizontal="center"/>
    </xf>
    <xf numFmtId="0" fontId="1" fillId="0" borderId="8" applyAlignment="1" pivotButton="0" quotePrefix="0" xfId="0">
      <alignment horizontal="left" vertical="center"/>
    </xf>
    <xf numFmtId="0" fontId="0" fillId="0" borderId="19" pivotButton="0" quotePrefix="0" xfId="0"/>
    <xf numFmtId="0" fontId="0" fillId="0" borderId="20" pivotButton="0" quotePrefix="0" xfId="0"/>
    <xf numFmtId="0" fontId="0" fillId="0" borderId="23" pivotButton="0" quotePrefix="0" xfId="0"/>
    <xf numFmtId="0" fontId="0" fillId="0" borderId="26" pivotButton="0" quotePrefix="0" xfId="0"/>
    <xf numFmtId="0" fontId="12" fillId="0" borderId="31" applyAlignment="1" pivotButton="0" quotePrefix="0" xfId="0">
      <alignment horizontal="left" vertical="center" wrapText="1"/>
    </xf>
    <xf numFmtId="0" fontId="13" fillId="0" borderId="0" applyAlignment="1" pivotButton="0" quotePrefix="0" xfId="0">
      <alignment vertical="center" wrapText="1"/>
    </xf>
    <xf numFmtId="0" fontId="0" fillId="0" borderId="42" pivotButton="0" quotePrefix="0" xfId="0"/>
    <xf numFmtId="0" fontId="14" fillId="0" borderId="8" applyAlignment="1" pivotButton="0" quotePrefix="0" xfId="0">
      <alignment horizontal="left" wrapText="1"/>
    </xf>
    <xf numFmtId="0" fontId="12" fillId="0" borderId="8" applyAlignment="1" pivotButton="0" quotePrefix="0" xfId="0">
      <alignment horizontal="left" vertical="center" wrapText="1"/>
    </xf>
    <xf numFmtId="0" fontId="13" fillId="0" borderId="0" applyAlignment="1" pivotButton="0" quotePrefix="0" xfId="0">
      <alignment horizontal="left" vertical="center" wrapText="1"/>
    </xf>
    <xf numFmtId="0" fontId="14" fillId="0" borderId="8" applyAlignment="1" pivotButton="0" quotePrefix="0" xfId="0">
      <alignment horizontal="left" vertical="top" wrapText="1"/>
    </xf>
    <xf numFmtId="0" fontId="14" fillId="0" borderId="8" applyAlignment="1" pivotButton="0" quotePrefix="0" xfId="0">
      <alignment vertical="top" wrapText="1"/>
    </xf>
    <xf numFmtId="0" fontId="12" fillId="0" borderId="0" applyAlignment="1" pivotButton="0" quotePrefix="0" xfId="0">
      <alignment vertical="center" wrapText="1"/>
    </xf>
    <xf numFmtId="0" fontId="5" fillId="3" borderId="119" applyAlignment="1" pivotButton="0" quotePrefix="0" xfId="0">
      <alignment horizontal="center" vertical="center"/>
    </xf>
    <xf numFmtId="0" fontId="9" fillId="4" borderId="120" applyAlignment="1" pivotButton="0" quotePrefix="0" xfId="0">
      <alignment horizontal="center" vertical="center"/>
    </xf>
    <xf numFmtId="0" fontId="0" fillId="0" borderId="51" pivotButton="0" quotePrefix="0" xfId="0"/>
    <xf numFmtId="0" fontId="16" fillId="8" borderId="122" applyAlignment="1" pivotButton="0" quotePrefix="0" xfId="0">
      <alignment horizontal="center" vertical="center"/>
    </xf>
    <xf numFmtId="0" fontId="0" fillId="0" borderId="53" pivotButton="0" quotePrefix="0" xfId="0"/>
    <xf numFmtId="0" fontId="0" fillId="0" borderId="54" pivotButton="0" quotePrefix="0" xfId="0"/>
    <xf numFmtId="0" fontId="11" fillId="9" borderId="125" applyAlignment="1" pivotButton="0" quotePrefix="0" xfId="0">
      <alignment vertical="center" wrapText="1"/>
    </xf>
    <xf numFmtId="0" fontId="0" fillId="0" borderId="58" pivotButton="0" quotePrefix="0" xfId="0"/>
    <xf numFmtId="0" fontId="18" fillId="0" borderId="127" applyAlignment="1" pivotButton="0" quotePrefix="0" xfId="0">
      <alignment vertical="center" wrapText="1"/>
    </xf>
    <xf numFmtId="0" fontId="0" fillId="0" borderId="62" pivotButton="0" quotePrefix="0" xfId="0"/>
    <xf numFmtId="0" fontId="11" fillId="9" borderId="128" applyAlignment="1" pivotButton="0" quotePrefix="0" xfId="0">
      <alignment vertical="center" wrapText="1"/>
    </xf>
    <xf numFmtId="0" fontId="0" fillId="0" borderId="66" pivotButton="0" quotePrefix="0" xfId="0"/>
    <xf numFmtId="0" fontId="19" fillId="0" borderId="70" applyAlignment="1" pivotButton="0" quotePrefix="0" xfId="0">
      <alignment horizontal="center" vertical="center" wrapText="1"/>
    </xf>
    <xf numFmtId="0" fontId="0" fillId="0" borderId="70" pivotButton="0" quotePrefix="0" xfId="0"/>
    <xf numFmtId="0" fontId="11" fillId="9" borderId="129" applyAlignment="1" pivotButton="0" quotePrefix="0" xfId="0">
      <alignment vertical="center" wrapText="1"/>
    </xf>
    <xf numFmtId="0" fontId="0" fillId="0" borderId="130" pivotButton="0" quotePrefix="0" xfId="0"/>
    <xf numFmtId="0" fontId="22" fillId="0" borderId="143" applyAlignment="1" pivotButton="0" quotePrefix="0" xfId="0">
      <alignment horizontal="left" vertical="center" wrapText="1" readingOrder="1"/>
    </xf>
    <xf numFmtId="0" fontId="0" fillId="0" borderId="104" pivotButton="0" quotePrefix="0" xfId="0"/>
    <xf numFmtId="0" fontId="11" fillId="9" borderId="143" applyAlignment="1" pivotButton="0" quotePrefix="0" xfId="0">
      <alignment vertical="center" wrapText="1"/>
    </xf>
    <xf numFmtId="0" fontId="22" fillId="0" borderId="143" applyAlignment="1" pivotButton="0" quotePrefix="0" xfId="0">
      <alignment horizontal="center" vertical="center" wrapText="1" readingOrder="1"/>
    </xf>
    <xf numFmtId="0" fontId="23" fillId="0" borderId="147" applyAlignment="1" pivotButton="0" quotePrefix="0" xfId="0">
      <alignment horizontal="center" vertical="center" wrapText="1" readingOrder="1"/>
    </xf>
    <xf numFmtId="0" fontId="0" fillId="0" borderId="113" pivotButton="0" quotePrefix="0" xfId="0"/>
    <xf numFmtId="0" fontId="23" fillId="0" borderId="148" applyAlignment="1" pivotButton="0" quotePrefix="0" xfId="0">
      <alignment horizontal="center" vertical="center" wrapText="1" readingOrder="1"/>
    </xf>
    <xf numFmtId="0" fontId="0" fillId="0" borderId="106" pivotButton="0" quotePrefix="0" xfId="0"/>
    <xf numFmtId="0" fontId="0" fillId="0" borderId="112" pivotButton="0" quotePrefix="0" xfId="0"/>
    <xf numFmtId="0" fontId="0" fillId="0" borderId="3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theme="1"/>
    <outlinePr summaryBelow="1" summaryRight="1"/>
    <pageSetUpPr/>
  </sheetPr>
  <dimension ref="A5:Z60"/>
  <sheetViews>
    <sheetView workbookViewId="0">
      <selection activeCell="A1" sqref="A1"/>
    </sheetView>
  </sheetViews>
  <sheetFormatPr baseColWidth="8" defaultColWidth="12.63" defaultRowHeight="15" customHeight="1"/>
  <cols>
    <col width="10" customWidth="1" style="215" min="1" max="1"/>
    <col width="40" customWidth="1" style="215" min="2" max="2"/>
    <col width="10" customWidth="1" style="215" min="3" max="3"/>
    <col width="9.380000000000001" customWidth="1" style="215" min="4" max="4"/>
    <col width="25.5" customWidth="1" style="215" min="5" max="5"/>
    <col width="15.25" customWidth="1" style="215" min="6" max="6"/>
    <col width="28.75" customWidth="1" style="215" min="7" max="7"/>
    <col width="10" customWidth="1" style="215" min="8" max="10"/>
    <col width="59.75" customWidth="1" style="215" min="11" max="11"/>
    <col width="10" customWidth="1" style="215" min="12" max="26"/>
  </cols>
  <sheetData>
    <row r="5">
      <c r="A5" s="1" t="n"/>
      <c r="B5" s="2" t="inlineStr">
        <is>
          <t>PALABRA</t>
        </is>
      </c>
      <c r="C5" s="216" t="n"/>
      <c r="D5" s="217" t="inlineStr">
        <is>
          <t xml:space="preserve">CONCEPTO TÉCNICO </t>
        </is>
      </c>
      <c r="E5" s="216" t="n"/>
      <c r="F5" s="216" t="n"/>
      <c r="G5" s="216" t="n"/>
      <c r="H5" s="216" t="n"/>
      <c r="I5" s="216" t="n"/>
      <c r="J5" s="216" t="n"/>
      <c r="K5" s="216" t="n"/>
      <c r="L5" s="218" t="n"/>
      <c r="M5" s="5" t="n"/>
    </row>
    <row r="6" ht="48" customHeight="1" s="215">
      <c r="A6" s="6" t="n"/>
      <c r="B6" s="219" t="inlineStr">
        <is>
          <t>Python</t>
        </is>
      </c>
      <c r="C6" s="218" t="n"/>
      <c r="D6" s="220" t="inlineStr">
        <is>
          <t>Lenguaje de programación principal del backend. Es interpretado, de tipado dinámico (con soporte de tipado estático opcional) y tiene una gran cantidad de librerías para web, bases de datos, seguridad y ciencia de datos. Permite desarrollar rápido y mantener el código de forma legible.</t>
        </is>
      </c>
      <c r="E6" s="216" t="n"/>
      <c r="F6" s="216" t="n"/>
      <c r="G6" s="216" t="n"/>
      <c r="H6" s="216" t="n"/>
      <c r="I6" s="216" t="n"/>
      <c r="J6" s="216" t="n"/>
      <c r="K6" s="216" t="n"/>
      <c r="L6" s="218" t="n"/>
      <c r="M6" s="6" t="n"/>
      <c r="N6" s="12" t="inlineStr">
        <is>
          <t>Requirimientos</t>
        </is>
      </c>
      <c r="O6" s="221" t="n"/>
      <c r="P6" s="12" t="inlineStr">
        <is>
          <t>Totales</t>
        </is>
      </c>
      <c r="Q6" s="218" t="n"/>
      <c r="R6" s="12">
        <f>'REQ. No funcionales'!K12+'REQ. funcionales Frontend'!K12+'REQ. funcionales db'!K12+'REQ. funcionales backend'!K12+Financieras!K12+'REQ. no funcionales Frontend'!L14</f>
        <v/>
      </c>
      <c r="S6" s="6" t="n"/>
      <c r="T6" s="13" t="n"/>
      <c r="U6" s="13" t="n"/>
      <c r="V6" s="13" t="n"/>
      <c r="W6" s="13" t="n"/>
      <c r="X6" s="13" t="n"/>
      <c r="Y6" s="6" t="n"/>
      <c r="Z6" s="6" t="n"/>
    </row>
    <row r="7" ht="48" customHeight="1" s="215">
      <c r="A7" s="6" t="n"/>
      <c r="B7" s="219" t="inlineStr">
        <is>
          <t>FastAPI</t>
        </is>
      </c>
      <c r="C7" s="218" t="n"/>
      <c r="D7" s="220" t="inlineStr">
        <is>
          <t>FastAPI es un framework de desarrollo web moderno y de alto rendimiento en Python, diseñado para facilitar la creación de APIs de forma rápida y sencilla. Se basa en las sugerencias de tipos estándar de Python y utiliza librerías como Pydantic para la validación y serialización de datos. FastAPI es conocido por su velocidad y facilidad de uso, permitiendo a los desarrolladores crear aplicaciones con menos código y mayor productividad.</t>
        </is>
      </c>
      <c r="E7" s="216" t="n"/>
      <c r="F7" s="216" t="n"/>
      <c r="G7" s="216" t="n"/>
      <c r="H7" s="216" t="n"/>
      <c r="I7" s="216" t="n"/>
      <c r="J7" s="216" t="n"/>
      <c r="K7" s="216" t="n"/>
      <c r="L7" s="218" t="n"/>
      <c r="M7" s="6" t="n"/>
      <c r="N7" s="12" t="n"/>
      <c r="O7" s="221" t="n"/>
      <c r="P7" s="12" t="inlineStr">
        <is>
          <t>Completados</t>
        </is>
      </c>
      <c r="Q7" s="218" t="n"/>
      <c r="R7" s="12">
        <f>'REQ. No funcionales'!K13+'REQ. funcionales Frontend'!K13+'REQ. funcionales db'!K13+'REQ. funcionales backend'!K13+Financieras!K13+'Gestion Humana'!K13+'REQ. no funcionales Frontend'!L15</f>
        <v/>
      </c>
      <c r="S7" s="6" t="n"/>
      <c r="T7" s="13" t="n"/>
      <c r="U7" s="13" t="n"/>
      <c r="V7" s="13" t="n"/>
      <c r="W7" s="13" t="n"/>
      <c r="X7" s="13" t="n"/>
      <c r="Y7" s="6" t="n"/>
      <c r="Z7" s="6" t="n"/>
    </row>
    <row r="8" ht="48" customHeight="1" s="215">
      <c r="A8" s="6" t="n"/>
      <c r="B8" s="219" t="inlineStr">
        <is>
          <t>Uvicorn</t>
        </is>
      </c>
      <c r="C8" s="218" t="n"/>
      <c r="D8" s="220" t="inlineStr">
        <is>
          <t>Servidor ASGI ligero y muy rápido que ejecuta la aplicación FastAPI. Se encarga de recibir las peticiones HTTP, pasarlas a la app y devolver las respuestas. Soporta hot-reload en desarrollo para ver cambios al instante.</t>
        </is>
      </c>
      <c r="E8" s="216" t="n"/>
      <c r="F8" s="216" t="n"/>
      <c r="G8" s="216" t="n"/>
      <c r="H8" s="216" t="n"/>
      <c r="I8" s="216" t="n"/>
      <c r="J8" s="216" t="n"/>
      <c r="K8" s="216" t="n"/>
      <c r="L8" s="218" t="n"/>
      <c r="M8" s="6" t="n"/>
      <c r="N8" s="12" t="n"/>
      <c r="O8" s="221" t="n"/>
      <c r="P8" s="12" t="n"/>
      <c r="Q8" s="218" t="n"/>
      <c r="R8" s="12" t="n"/>
      <c r="S8" s="6" t="n"/>
      <c r="T8" s="13" t="n"/>
      <c r="U8" s="13" t="n"/>
      <c r="V8" s="13" t="n"/>
      <c r="W8" s="13" t="n"/>
      <c r="X8" s="13" t="n"/>
      <c r="Y8" s="6" t="n"/>
      <c r="Z8" s="6" t="n"/>
    </row>
    <row r="9" ht="48" customHeight="1" s="215">
      <c r="A9" s="6" t="n"/>
      <c r="B9" s="219" t="inlineStr">
        <is>
          <t>SQLAlchemy</t>
        </is>
      </c>
      <c r="C9" s="218" t="n"/>
      <c r="D9" s="220" t="inlineStr">
        <is>
          <t>Biblioteca usada para conexión y sesiones de base de datos desde el backend. En el proyecto se usa principalmente `Session` y consultas SQL explícitas con `text(...)`, con utilidades ORM puntuales.</t>
        </is>
      </c>
      <c r="E9" s="216" t="n"/>
      <c r="F9" s="216" t="n"/>
      <c r="G9" s="216" t="n"/>
      <c r="H9" s="216" t="n"/>
      <c r="I9" s="216" t="n"/>
      <c r="J9" s="216" t="n"/>
      <c r="K9" s="216" t="n"/>
      <c r="L9" s="218" t="n"/>
      <c r="M9" s="6" t="n"/>
      <c r="N9" s="12" t="inlineStr">
        <is>
          <t>Porcentaje</t>
        </is>
      </c>
      <c r="O9" s="221" t="n"/>
      <c r="P9" s="12">
        <f>TEXT((R7/R6)*100,"0,00") &amp; "%"</f>
        <v/>
      </c>
      <c r="Q9" s="218" t="n"/>
      <c r="R9" s="12" t="n"/>
      <c r="S9" s="6" t="n"/>
      <c r="T9" s="13" t="n"/>
      <c r="U9" s="13" t="n"/>
      <c r="V9" s="13" t="n"/>
      <c r="W9" s="13" t="n"/>
      <c r="X9" s="13" t="n"/>
      <c r="Y9" s="6" t="n"/>
      <c r="Z9" s="6" t="n"/>
    </row>
    <row r="10" ht="48" customHeight="1" s="215">
      <c r="A10" s="6" t="n"/>
      <c r="B10" s="219" t="inlineStr">
        <is>
          <t>Pydantic</t>
        </is>
      </c>
      <c r="C10" s="218" t="n"/>
      <c r="D10" s="220" t="inlineStr">
        <is>
          <t>Biblioteca Python para validación de datos usando anotaciones de tipos</t>
        </is>
      </c>
      <c r="E10" s="216" t="n"/>
      <c r="F10" s="216" t="n"/>
      <c r="G10" s="216" t="n"/>
      <c r="H10" s="216" t="n"/>
      <c r="I10" s="216" t="n"/>
      <c r="J10" s="216" t="n"/>
      <c r="K10" s="216" t="n"/>
      <c r="L10" s="218" t="n"/>
      <c r="M10" s="6" t="n"/>
      <c r="N10" s="12" t="n"/>
      <c r="O10" s="221" t="n"/>
      <c r="P10" s="12" t="n"/>
      <c r="Q10" s="218" t="n"/>
      <c r="R10" s="12" t="n"/>
      <c r="S10" s="6" t="n"/>
      <c r="T10" s="13" t="n"/>
      <c r="U10" s="13" t="n"/>
      <c r="V10" s="13" t="n"/>
      <c r="W10" s="13" t="n"/>
      <c r="X10" s="13" t="n"/>
      <c r="Y10" s="6" t="n"/>
      <c r="Z10" s="6" t="n"/>
    </row>
    <row r="11" ht="48" customHeight="1" s="215">
      <c r="A11" s="6" t="n"/>
      <c r="B11" s="219" t="inlineStr">
        <is>
          <t>JWT</t>
        </is>
      </c>
      <c r="C11" s="218" t="n"/>
      <c r="D11" s="220" t="inlineStr">
        <is>
          <t>JSON Web Tokens son el mecanismo de autenticación. El backend emite tokens firmados con una clave secreta, que el cliente envía en cada petición protegida. python-jose se encarga de firmar, verificar y decodificar estos tokens de forma segura.</t>
        </is>
      </c>
      <c r="E11" s="216" t="n"/>
      <c r="F11" s="216" t="n"/>
      <c r="G11" s="216" t="n"/>
      <c r="H11" s="216" t="n"/>
      <c r="I11" s="216" t="n"/>
      <c r="J11" s="216" t="n"/>
      <c r="K11" s="216" t="n"/>
      <c r="L11" s="218" t="n"/>
      <c r="M11" s="6" t="n"/>
      <c r="N11" s="12" t="n"/>
      <c r="O11" s="221" t="n"/>
      <c r="P11" s="12" t="n"/>
      <c r="Q11" s="218" t="n"/>
      <c r="R11" s="12" t="n"/>
      <c r="S11" s="6" t="n"/>
      <c r="T11" s="13" t="n"/>
      <c r="U11" s="13" t="n"/>
      <c r="V11" s="13" t="n"/>
      <c r="W11" s="13" t="n"/>
      <c r="X11" s="13" t="n"/>
      <c r="Y11" s="6" t="n"/>
      <c r="Z11" s="6" t="n"/>
    </row>
    <row r="12" ht="48" customHeight="1" s="215">
      <c r="A12" s="6" t="n"/>
      <c r="B12" s="219" t="inlineStr">
        <is>
          <t>bcrypt</t>
        </is>
      </c>
      <c r="C12" s="218" t="n"/>
      <c r="D12" s="220" t="inlineStr">
        <is>
          <t>Algoritmo de hash para contraseñas. En lugar de guardar las contraseñas en texto plano, se almacena un hash resistente a ataques de fuerza bruta. Bcrypt incluye un “coste” configurable que hace más lento el cálculo del hash (y por tanto más difícil de romper).</t>
        </is>
      </c>
      <c r="E12" s="216" t="n"/>
      <c r="F12" s="216" t="n"/>
      <c r="G12" s="216" t="n"/>
      <c r="H12" s="216" t="n"/>
      <c r="I12" s="216" t="n"/>
      <c r="J12" s="216" t="n"/>
      <c r="K12" s="216" t="n"/>
      <c r="L12" s="218" t="n"/>
      <c r="M12" s="6" t="n"/>
      <c r="N12" s="12" t="n"/>
      <c r="O12" s="221" t="n"/>
      <c r="P12" s="12" t="n"/>
      <c r="Q12" s="218" t="n"/>
      <c r="R12" s="12" t="n"/>
      <c r="S12" s="6" t="n"/>
      <c r="T12" s="13" t="n"/>
      <c r="U12" s="13" t="n"/>
      <c r="V12" s="13" t="n"/>
      <c r="W12" s="13" t="n"/>
      <c r="X12" s="13" t="n"/>
      <c r="Y12" s="6" t="n"/>
      <c r="Z12" s="6" t="n"/>
    </row>
    <row r="13" ht="48" customHeight="1" s="215">
      <c r="A13" s="6" t="n"/>
      <c r="B13" s="219" t="inlineStr">
        <is>
          <t>python-dotenv</t>
        </is>
      </c>
      <c r="C13" s="218" t="n"/>
      <c r="D13" s="220" t="inlineStr">
        <is>
          <t>Carga las variables de entorno definidas en un archivo .env (como claves secretas, URLs de base de datos, credenciales de correo). Esto separa la configuración sensible del código fuente y facilita cambiar entornos (desarrollo, pruebas, producción).</t>
        </is>
      </c>
      <c r="E13" s="216" t="n"/>
      <c r="F13" s="216" t="n"/>
      <c r="G13" s="216" t="n"/>
      <c r="H13" s="216" t="n"/>
      <c r="I13" s="216" t="n"/>
      <c r="J13" s="216" t="n"/>
      <c r="K13" s="216" t="n"/>
      <c r="L13" s="218" t="n"/>
      <c r="M13" s="6" t="n"/>
      <c r="N13" s="12" t="n"/>
      <c r="O13" s="221" t="n"/>
      <c r="P13" s="12" t="n"/>
      <c r="Q13" s="218" t="n"/>
      <c r="R13" s="12" t="n"/>
      <c r="S13" s="6" t="n"/>
      <c r="T13" s="13" t="n"/>
      <c r="U13" s="13" t="n"/>
      <c r="V13" s="13" t="n"/>
      <c r="W13" s="13" t="n"/>
      <c r="X13" s="13" t="n"/>
      <c r="Y13" s="6" t="n"/>
      <c r="Z13" s="6" t="n"/>
    </row>
    <row r="14" ht="48" customHeight="1" s="215">
      <c r="A14" s="6" t="n"/>
      <c r="B14" s="219" t="inlineStr">
        <is>
          <t>SMTP</t>
        </is>
      </c>
      <c r="C14" s="218" t="n"/>
      <c r="D14" s="220" t="inlineStr">
        <is>
          <t>Conjunto de funciones que usan el protocolo SMTP para enviar correos electrónicos (confirmaciones, recordatorios, contacto). Normalmente se conecta a servidores como Gmail u otros proveedores, autenticándose con usuario y contraseña seguros.</t>
        </is>
      </c>
      <c r="E14" s="216" t="n"/>
      <c r="F14" s="216" t="n"/>
      <c r="G14" s="216" t="n"/>
      <c r="H14" s="216" t="n"/>
      <c r="I14" s="216" t="n"/>
      <c r="J14" s="216" t="n"/>
      <c r="K14" s="216" t="n"/>
      <c r="L14" s="218" t="n"/>
      <c r="M14" s="6" t="n"/>
      <c r="N14" s="12" t="n"/>
      <c r="O14" s="221" t="n"/>
      <c r="P14" s="12" t="n"/>
      <c r="Q14" s="218" t="n"/>
      <c r="R14" s="12" t="n"/>
      <c r="S14" s="6" t="n"/>
      <c r="T14" s="13" t="n"/>
      <c r="U14" s="13" t="n"/>
      <c r="V14" s="13" t="n"/>
      <c r="W14" s="13" t="n"/>
      <c r="X14" s="13" t="n"/>
      <c r="Y14" s="6" t="n"/>
      <c r="Z14" s="6" t="n"/>
    </row>
    <row r="15" ht="48" customHeight="1" s="215">
      <c r="A15" s="6" t="n"/>
      <c r="B15" s="219" t="inlineStr">
        <is>
          <t>POSTGRESQL</t>
        </is>
      </c>
      <c r="C15" s="218" t="n"/>
      <c r="D15" s="220" t="inlineStr">
        <is>
          <t>PostgreSQL es un sistema de gestión de base de datos relacional (RDBMS) de código abierto, ampliamente reconocido por su fiabilidad, flexibilidad y capacidad para manejar grandes cantidades de datos. Se considera una de las bases de datos relacionales de código abierto más avanzadas del mundo.</t>
        </is>
      </c>
      <c r="E15" s="216" t="n"/>
      <c r="F15" s="216" t="n"/>
      <c r="G15" s="216" t="n"/>
      <c r="H15" s="216" t="n"/>
      <c r="I15" s="216" t="n"/>
      <c r="J15" s="216" t="n"/>
      <c r="K15" s="216" t="n"/>
      <c r="L15" s="218" t="n"/>
      <c r="M15" s="6" t="n"/>
      <c r="N15" s="12" t="n"/>
      <c r="O15" s="221" t="n"/>
      <c r="P15" s="12" t="n"/>
      <c r="Q15" s="218" t="n"/>
      <c r="R15" s="12" t="n"/>
      <c r="S15" s="6" t="n"/>
      <c r="T15" s="13" t="n"/>
      <c r="U15" s="13" t="n"/>
      <c r="V15" s="13" t="n"/>
      <c r="W15" s="13" t="n"/>
      <c r="X15" s="13" t="n"/>
      <c r="Y15" s="6" t="n"/>
      <c r="Z15" s="6" t="n"/>
    </row>
    <row r="16" ht="48" customHeight="1" s="215">
      <c r="A16" s="6" t="n"/>
      <c r="B16" s="219" t="inlineStr">
        <is>
          <t>TypeScript</t>
        </is>
      </c>
      <c r="C16" s="218" t="n"/>
      <c r="D16" s="220" t="inlineStr">
        <is>
          <t>Superconjunto tipado de JavaScript. Añade tipos estáticos opcionales, lo que ayuda a detectar errores en tiempo de compilación, mejorar el autocompletado y hacer el código más mantenible en una base de código grande como este frontend.</t>
        </is>
      </c>
      <c r="E16" s="216" t="n"/>
      <c r="F16" s="216" t="n"/>
      <c r="G16" s="216" t="n"/>
      <c r="H16" s="216" t="n"/>
      <c r="I16" s="216" t="n"/>
      <c r="J16" s="216" t="n"/>
      <c r="K16" s="216" t="n"/>
      <c r="L16" s="218" t="n"/>
      <c r="M16" s="6" t="n"/>
      <c r="N16" s="12" t="n"/>
      <c r="O16" s="221" t="n"/>
      <c r="P16" s="12" t="n"/>
      <c r="Q16" s="218" t="n"/>
      <c r="R16" s="12" t="n"/>
      <c r="S16" s="6" t="n"/>
      <c r="T16" s="13" t="n"/>
      <c r="U16" s="13" t="n"/>
      <c r="V16" s="13" t="n"/>
      <c r="W16" s="13" t="n"/>
      <c r="X16" s="13" t="n"/>
      <c r="Y16" s="6" t="n"/>
      <c r="Z16" s="6" t="n"/>
    </row>
    <row r="17" ht="48" customHeight="1" s="215">
      <c r="A17" s="6" t="n"/>
      <c r="B17" s="219" t="inlineStr">
        <is>
          <t>React</t>
        </is>
      </c>
      <c r="C17" s="218" t="n"/>
      <c r="D17" s="220" t="inlineStr">
        <is>
          <t>Es una biblioteca Javascript de código abierto diseñada para crear interfaces de usuario con el objetivo de facilitar el desarrollo de aplicaciones en una sola página.</t>
        </is>
      </c>
      <c r="E17" s="216" t="n"/>
      <c r="F17" s="216" t="n"/>
      <c r="G17" s="216" t="n"/>
      <c r="H17" s="216" t="n"/>
      <c r="I17" s="216" t="n"/>
      <c r="J17" s="216" t="n"/>
      <c r="K17" s="216" t="n"/>
      <c r="L17" s="218" t="n"/>
      <c r="M17" s="6" t="n"/>
      <c r="N17" s="12" t="n"/>
      <c r="O17" s="221" t="n"/>
      <c r="P17" s="12" t="n"/>
      <c r="Q17" s="218" t="n"/>
      <c r="R17" s="12" t="n"/>
      <c r="S17" s="6" t="n"/>
      <c r="T17" s="13" t="n"/>
      <c r="U17" s="13" t="n"/>
      <c r="V17" s="13" t="n"/>
      <c r="W17" s="13" t="n"/>
      <c r="X17" s="13" t="n"/>
      <c r="Y17" s="6" t="n"/>
      <c r="Z17" s="6" t="n"/>
    </row>
    <row r="18" ht="48" customHeight="1" s="215">
      <c r="A18" s="6" t="n"/>
      <c r="B18" s="219" t="inlineStr">
        <is>
          <t>VITE</t>
        </is>
      </c>
      <c r="C18" s="218" t="n"/>
      <c r="D18" s="220" t="inlineStr">
        <is>
          <t>Vite es una herramienta de desarrollo para el frontend (parte del sitio web que el usuario ve) que busca acelerar el desarrollo y la construcción de aplicaciones web modernas. Es conocido por su velocidad, tanto en el desarrollo como en la compilación final, y su facilidad de uso.</t>
        </is>
      </c>
      <c r="E18" s="216" t="n"/>
      <c r="F18" s="216" t="n"/>
      <c r="G18" s="216" t="n"/>
      <c r="H18" s="216" t="n"/>
      <c r="I18" s="216" t="n"/>
      <c r="J18" s="216" t="n"/>
      <c r="K18" s="216" t="n"/>
      <c r="L18" s="218" t="n"/>
      <c r="M18" s="6" t="n"/>
      <c r="N18" s="12" t="n"/>
      <c r="O18" s="221" t="n"/>
      <c r="P18" s="12" t="n"/>
      <c r="Q18" s="218" t="n"/>
      <c r="R18" s="12" t="n"/>
      <c r="S18" s="6" t="n"/>
      <c r="T18" s="13" t="n"/>
      <c r="U18" s="13" t="n"/>
      <c r="V18" s="13" t="n"/>
      <c r="W18" s="13" t="n"/>
      <c r="X18" s="13" t="n"/>
      <c r="Y18" s="6" t="n"/>
      <c r="Z18" s="6" t="n"/>
    </row>
    <row r="19" ht="48" customHeight="1" s="215">
      <c r="A19" s="6" t="n"/>
      <c r="B19" s="219" t="inlineStr">
        <is>
          <t>React Router</t>
        </is>
      </c>
      <c r="C19" s="218" t="n"/>
      <c r="D19" s="220" t="inlineStr">
        <is>
          <t>Librería de ruteo para React en aplicaciones web. Permite definir rutas (URLs) que cargan páginas o componentes específicos, soporta rutas anidadas, parámetros, protección de rutas (según rol/estado de login) y navegación programática.</t>
        </is>
      </c>
      <c r="E19" s="216" t="n"/>
      <c r="F19" s="216" t="n"/>
      <c r="G19" s="216" t="n"/>
      <c r="H19" s="216" t="n"/>
      <c r="I19" s="216" t="n"/>
      <c r="J19" s="216" t="n"/>
      <c r="K19" s="216" t="n"/>
      <c r="L19" s="218" t="n"/>
      <c r="M19" s="6" t="n"/>
      <c r="N19" s="12" t="n"/>
      <c r="O19" s="221" t="n"/>
      <c r="P19" s="12" t="n"/>
      <c r="Q19" s="218" t="n"/>
      <c r="R19" s="12" t="n"/>
      <c r="S19" s="6" t="n"/>
      <c r="T19" s="13" t="n"/>
      <c r="U19" s="13" t="n"/>
      <c r="V19" s="13" t="n"/>
      <c r="W19" s="13" t="n"/>
      <c r="X19" s="13" t="n"/>
      <c r="Y19" s="6" t="n"/>
      <c r="Z19" s="6" t="n"/>
    </row>
    <row r="20" ht="48" customHeight="1" s="215">
      <c r="A20" s="6" t="n"/>
      <c r="B20" s="219" t="inlineStr">
        <is>
          <t>TAILWINDCSS</t>
        </is>
      </c>
      <c r="C20" s="218" t="n"/>
      <c r="D20" s="220" t="inlineStr">
        <is>
          <t>Tailwind CSS es un framework CSS "Utility-first" que proporciona un conjunto de clases de utilidad para diseñar interfaces de usuario de forma rápida y eficiente. En lugar de definir componentes predefinidos como Bootstrap, Tailwind se centra en clases específicas para estilos individuales, como colores, espaciado, fuentes, sombras, etc. Esto permite a los desarrolladores crear diseños personalizados y mantener un código CSS más limpio y optimizado.</t>
        </is>
      </c>
      <c r="E20" s="216" t="n"/>
      <c r="F20" s="216" t="n"/>
      <c r="G20" s="216" t="n"/>
      <c r="H20" s="216" t="n"/>
      <c r="I20" s="216" t="n"/>
      <c r="J20" s="216" t="n"/>
      <c r="K20" s="216" t="n"/>
      <c r="L20" s="218" t="n"/>
      <c r="M20" s="6" t="n"/>
      <c r="N20" s="12" t="n"/>
      <c r="O20" s="221" t="n"/>
      <c r="P20" s="12" t="n"/>
      <c r="Q20" s="218" t="n"/>
      <c r="R20" s="12" t="n"/>
      <c r="S20" s="6" t="n"/>
      <c r="T20" s="13" t="n"/>
      <c r="U20" s="13" t="n"/>
      <c r="V20" s="13" t="n"/>
      <c r="W20" s="13" t="n"/>
      <c r="X20" s="13" t="n"/>
      <c r="Y20" s="6" t="n"/>
      <c r="Z20" s="6" t="n"/>
    </row>
    <row r="21" ht="48" customHeight="1" s="215">
      <c r="A21" s="6" t="n"/>
      <c r="B21" s="219" t="inlineStr">
        <is>
          <t>tailwindcss-animate</t>
        </is>
      </c>
      <c r="C21" s="218" t="n"/>
      <c r="D21" s="220" t="inlineStr">
        <is>
          <t>Extensión de Tailwind que añade clases de animación ya definidas (fade, slide, etc.). Simplifica añadir transiciones y animaciones sin tener que escribir keyframes manualmente.</t>
        </is>
      </c>
      <c r="E21" s="216" t="n"/>
      <c r="F21" s="216" t="n"/>
      <c r="G21" s="216" t="n"/>
      <c r="H21" s="216" t="n"/>
      <c r="I21" s="216" t="n"/>
      <c r="J21" s="216" t="n"/>
      <c r="K21" s="216" t="n"/>
      <c r="L21" s="218" t="n"/>
      <c r="M21" s="6" t="n"/>
      <c r="N21" s="12" t="n"/>
      <c r="O21" s="221" t="n"/>
      <c r="P21" s="12" t="n"/>
      <c r="Q21" s="218" t="n"/>
      <c r="R21" s="12" t="n"/>
      <c r="S21" s="6" t="n"/>
      <c r="T21" s="13" t="n"/>
      <c r="U21" s="13" t="n"/>
      <c r="V21" s="13" t="n"/>
      <c r="W21" s="13" t="n"/>
      <c r="X21" s="13" t="n"/>
      <c r="Y21" s="6" t="n"/>
      <c r="Z21" s="6" t="n"/>
    </row>
    <row r="22" ht="48" customHeight="1" s="215">
      <c r="A22" s="6" t="n"/>
      <c r="B22" s="219" t="inlineStr">
        <is>
          <t>Framer Motion</t>
        </is>
      </c>
      <c r="C22" s="218" t="n"/>
      <c r="D22" s="220" t="inlineStr">
        <is>
          <t>Librería de animaciones para React muy potente. Permite animaciones suaves, gestos (drag, hover, tap) y transiciones complejas entre componentes o páginas, con una API declarativa e integración estrecha con React.</t>
        </is>
      </c>
      <c r="E22" s="216" t="n"/>
      <c r="F22" s="216" t="n"/>
      <c r="G22" s="216" t="n"/>
      <c r="H22" s="216" t="n"/>
      <c r="I22" s="216" t="n"/>
      <c r="J22" s="216" t="n"/>
      <c r="K22" s="216" t="n"/>
      <c r="L22" s="218" t="n"/>
      <c r="M22" s="6" t="n"/>
      <c r="N22" s="12" t="n"/>
      <c r="O22" s="221" t="n"/>
      <c r="P22" s="12" t="n"/>
      <c r="Q22" s="218" t="n"/>
      <c r="R22" s="12" t="n"/>
      <c r="S22" s="6" t="n"/>
      <c r="T22" s="13" t="n"/>
      <c r="U22" s="13" t="n"/>
      <c r="V22" s="13" t="n"/>
      <c r="W22" s="13" t="n"/>
      <c r="X22" s="13" t="n"/>
      <c r="Y22" s="6" t="n"/>
      <c r="Z22" s="6" t="n"/>
    </row>
    <row r="23" ht="48" customHeight="1" s="215">
      <c r="A23" s="6" t="n"/>
      <c r="B23" s="219" t="inlineStr">
        <is>
          <t>Radix UI</t>
        </is>
      </c>
      <c r="C23" s="218" t="n"/>
      <c r="D23" s="220" t="inlineStr">
        <is>
          <t>Colección de componentes de interfaz “sin estilos” pero accesibles (modales, menús, tooltips, etc.). Aporta la parte compleja de accesibilidad, manejo de foco, teclado, ARIA, etc., y el proyecto se encarga de aplicar el diseño visual (con Tailwind, por ejemplo).</t>
        </is>
      </c>
      <c r="E23" s="216" t="n"/>
      <c r="F23" s="216" t="n"/>
      <c r="G23" s="216" t="n"/>
      <c r="H23" s="216" t="n"/>
      <c r="I23" s="216" t="n"/>
      <c r="J23" s="216" t="n"/>
      <c r="K23" s="216" t="n"/>
      <c r="L23" s="218" t="n"/>
      <c r="M23" s="6" t="n"/>
      <c r="N23" s="12" t="n"/>
      <c r="O23" s="221" t="n"/>
      <c r="P23" s="12" t="n"/>
      <c r="Q23" s="218" t="n"/>
      <c r="R23" s="12" t="n"/>
      <c r="S23" s="6" t="n"/>
      <c r="T23" s="13" t="n"/>
      <c r="U23" s="13" t="n"/>
      <c r="V23" s="13" t="n"/>
      <c r="W23" s="13" t="n"/>
      <c r="X23" s="13" t="n"/>
      <c r="Y23" s="6" t="n"/>
      <c r="Z23" s="6" t="n"/>
    </row>
    <row r="24" ht="48" customHeight="1" s="215">
      <c r="A24" s="6" t="n"/>
      <c r="B24" s="219" t="inlineStr">
        <is>
          <t>Shadcn/ui</t>
        </is>
      </c>
      <c r="C24" s="218" t="n"/>
      <c r="D24" s="220" t="inlineStr">
        <is>
          <t>Conjunto de componentes construidos sobre Radix UI y Tailwind. Ofrece componentes pre-armados y estilizados (botones, inputs, tarjetas, diálogos) listos para usar y muy coherentes, pero que siguen siendo personalizables a nivel de diseño.</t>
        </is>
      </c>
      <c r="E24" s="216" t="n"/>
      <c r="F24" s="216" t="n"/>
      <c r="G24" s="216" t="n"/>
      <c r="H24" s="216" t="n"/>
      <c r="I24" s="216" t="n"/>
      <c r="J24" s="216" t="n"/>
      <c r="K24" s="216" t="n"/>
      <c r="L24" s="218" t="n"/>
      <c r="M24" s="6" t="n"/>
      <c r="N24" s="12" t="n"/>
      <c r="O24" s="221" t="n"/>
      <c r="P24" s="12" t="n"/>
      <c r="Q24" s="218" t="n"/>
      <c r="R24" s="12" t="n"/>
      <c r="S24" s="6" t="n"/>
      <c r="T24" s="13" t="n"/>
      <c r="U24" s="13" t="n"/>
      <c r="V24" s="13" t="n"/>
      <c r="W24" s="13" t="n"/>
      <c r="X24" s="13" t="n"/>
      <c r="Y24" s="6" t="n"/>
      <c r="Z24" s="6" t="n"/>
    </row>
    <row r="25" ht="48" customHeight="1" s="215">
      <c r="A25" s="6" t="n"/>
      <c r="B25" s="219" t="inlineStr">
        <is>
          <t>Lucide React</t>
        </is>
      </c>
      <c r="C25" s="218" t="n"/>
      <c r="D25" s="220" t="inlineStr">
        <is>
          <t>Paquete de iconos en formato React (SVG). Proporciona una amplia colección de iconos limpios y modernos que se integran fácilmente con Tailwind (p. ej. para tamaños y colores).</t>
        </is>
      </c>
      <c r="E25" s="216" t="n"/>
      <c r="F25" s="216" t="n"/>
      <c r="G25" s="216" t="n"/>
      <c r="H25" s="216" t="n"/>
      <c r="I25" s="216" t="n"/>
      <c r="J25" s="216" t="n"/>
      <c r="K25" s="216" t="n"/>
      <c r="L25" s="218" t="n"/>
      <c r="M25" s="6" t="n"/>
      <c r="N25" s="12" t="n"/>
      <c r="O25" s="221" t="n"/>
      <c r="P25" s="12" t="n"/>
      <c r="Q25" s="218" t="n"/>
      <c r="R25" s="12" t="n"/>
      <c r="S25" s="6" t="n"/>
      <c r="T25" s="13" t="n"/>
      <c r="U25" s="13" t="n"/>
      <c r="V25" s="13" t="n"/>
      <c r="W25" s="13" t="n"/>
      <c r="X25" s="13" t="n"/>
      <c r="Y25" s="6" t="n"/>
      <c r="Z25" s="6" t="n"/>
    </row>
    <row r="26" ht="48" customHeight="1" s="215">
      <c r="A26" s="6" t="n"/>
      <c r="B26" s="219" t="inlineStr">
        <is>
          <t>Leaflet</t>
        </is>
      </c>
      <c r="C26" s="218" t="n"/>
      <c r="D26" s="220" t="inlineStr">
        <is>
          <t>Librería de JavaScript para mapas interactivos. Permite mostrar mapas, marcadores, popups, capas, etc. Es ligera y se integra bien con tiles de proveedores como OpenStreetMap.</t>
        </is>
      </c>
      <c r="E26" s="216" t="n"/>
      <c r="F26" s="216" t="n"/>
      <c r="G26" s="216" t="n"/>
      <c r="H26" s="216" t="n"/>
      <c r="I26" s="216" t="n"/>
      <c r="J26" s="216" t="n"/>
      <c r="K26" s="216" t="n"/>
      <c r="L26" s="218" t="n"/>
      <c r="M26" s="6" t="n"/>
      <c r="N26" s="12" t="n"/>
      <c r="O26" s="221" t="n"/>
      <c r="P26" s="12" t="n"/>
      <c r="Q26" s="218" t="n"/>
      <c r="R26" s="12" t="n"/>
      <c r="S26" s="6" t="n"/>
      <c r="T26" s="13" t="n"/>
      <c r="U26" s="13" t="n"/>
      <c r="V26" s="13" t="n"/>
      <c r="W26" s="13" t="n"/>
      <c r="X26" s="13" t="n"/>
      <c r="Y26" s="6" t="n"/>
      <c r="Z26" s="6" t="n"/>
    </row>
    <row r="27" ht="48" customHeight="1" s="215">
      <c r="A27" s="6" t="n"/>
      <c r="B27" s="219" t="inlineStr">
        <is>
          <t>React Leaflet</t>
        </is>
      </c>
      <c r="C27" s="218" t="n"/>
      <c r="D27" s="220" t="inlineStr">
        <is>
          <t>Envoltura de Leaflet para React. Convierte las APIs de Leaflet en componentes React (&lt;MapContainer&gt;, &lt;Marker&gt;, etc.), para que puedas manejar el mapa dentro del mismo flujo declarativo de React.</t>
        </is>
      </c>
      <c r="E27" s="216" t="n"/>
      <c r="F27" s="216" t="n"/>
      <c r="G27" s="216" t="n"/>
      <c r="H27" s="216" t="n"/>
      <c r="I27" s="216" t="n"/>
      <c r="J27" s="216" t="n"/>
      <c r="K27" s="216" t="n"/>
      <c r="L27" s="218" t="n"/>
      <c r="M27" s="6" t="n"/>
      <c r="N27" s="12" t="n"/>
      <c r="O27" s="221" t="n"/>
      <c r="P27" s="12" t="n"/>
      <c r="Q27" s="218" t="n"/>
      <c r="R27" s="12" t="n"/>
      <c r="S27" s="6" t="n"/>
      <c r="T27" s="13" t="n"/>
      <c r="U27" s="13" t="n"/>
      <c r="V27" s="13" t="n"/>
      <c r="W27" s="13" t="n"/>
      <c r="X27" s="13" t="n"/>
      <c r="Y27" s="6" t="n"/>
      <c r="Z27" s="6" t="n"/>
    </row>
    <row r="28" ht="48" customHeight="1" s="215">
      <c r="A28" s="6" t="n"/>
      <c r="B28" s="219" t="inlineStr">
        <is>
          <t>IMAP</t>
        </is>
      </c>
      <c r="C28" s="218" t="n"/>
      <c r="D28" s="220" t="inlineStr">
        <is>
          <t>IMAP (Internet Message Access Protocol) es un protocolo estándar de correo electrónico que permite acceder y gestionar mensajes directamente en el servidor desde múltiples dispositivos simultáneamente.</t>
        </is>
      </c>
      <c r="E28" s="216" t="n"/>
      <c r="F28" s="216" t="n"/>
      <c r="G28" s="216" t="n"/>
      <c r="H28" s="216" t="n"/>
      <c r="I28" s="216" t="n"/>
      <c r="J28" s="216" t="n"/>
      <c r="K28" s="216" t="n"/>
      <c r="L28" s="218" t="n"/>
      <c r="M28" s="6" t="n"/>
      <c r="N28" s="12" t="n"/>
      <c r="O28" s="221" t="n"/>
      <c r="P28" s="12" t="n"/>
      <c r="Q28" s="218" t="n"/>
      <c r="R28" s="12" t="n"/>
      <c r="S28" s="6" t="n"/>
      <c r="T28" s="13" t="n"/>
      <c r="U28" s="13" t="n"/>
      <c r="V28" s="13" t="n"/>
      <c r="W28" s="13" t="n"/>
      <c r="X28" s="13" t="n"/>
      <c r="Y28" s="6" t="n"/>
      <c r="Z28" s="6" t="n"/>
    </row>
    <row r="29" ht="48" customHeight="1" s="215">
      <c r="A29" s="6" t="n"/>
      <c r="B29" s="219" t="inlineStr">
        <is>
          <t>Código base</t>
        </is>
      </c>
      <c r="C29" s="218" t="n"/>
      <c r="D29" s="220" t="inlineStr">
        <is>
          <t>Significado</t>
        </is>
      </c>
      <c r="E29" s="216" t="n"/>
      <c r="F29" s="216" t="n"/>
      <c r="G29" s="216" t="n"/>
      <c r="H29" s="216" t="n"/>
      <c r="I29" s="216" t="n"/>
      <c r="J29" s="216" t="n"/>
      <c r="K29" s="216" t="n"/>
      <c r="L29" s="218" t="n"/>
      <c r="M29" s="6" t="n"/>
      <c r="N29" s="12" t="n"/>
      <c r="O29" s="221" t="n"/>
      <c r="P29" s="12" t="n"/>
      <c r="Q29" s="218" t="n"/>
      <c r="R29" s="12" t="n"/>
      <c r="S29" s="6" t="n"/>
      <c r="T29" s="13" t="n"/>
      <c r="U29" s="13" t="n"/>
      <c r="V29" s="13" t="n"/>
      <c r="W29" s="13" t="n"/>
      <c r="X29" s="13" t="n"/>
      <c r="Y29" s="6" t="n"/>
      <c r="Z29" s="6" t="n"/>
    </row>
    <row r="30" ht="48" customHeight="1" s="215">
      <c r="A30" s="6" t="n"/>
      <c r="B30" s="219" t="inlineStr">
        <is>
          <t>BE</t>
        </is>
      </c>
      <c r="C30" s="218" t="n"/>
      <c r="D30" s="220" t="inlineStr">
        <is>
          <t>Backend</t>
        </is>
      </c>
      <c r="E30" s="216" t="n"/>
      <c r="F30" s="216" t="n"/>
      <c r="G30" s="216" t="n"/>
      <c r="H30" s="216" t="n"/>
      <c r="I30" s="216" t="n"/>
      <c r="J30" s="216" t="n"/>
      <c r="K30" s="216" t="n"/>
      <c r="L30" s="218" t="n"/>
      <c r="M30" s="6" t="n"/>
      <c r="N30" s="12" t="n"/>
      <c r="O30" s="221" t="n"/>
      <c r="P30" s="12" t="n"/>
      <c r="Q30" s="218" t="n"/>
      <c r="R30" s="12" t="n"/>
      <c r="S30" s="6" t="n"/>
      <c r="T30" s="13" t="n"/>
      <c r="U30" s="13" t="n"/>
      <c r="V30" s="13" t="n"/>
      <c r="W30" s="13" t="n"/>
      <c r="X30" s="13" t="n"/>
      <c r="Y30" s="6" t="n"/>
      <c r="Z30" s="6" t="n"/>
    </row>
    <row r="31" ht="48" customHeight="1" s="215">
      <c r="A31" s="6" t="n"/>
      <c r="B31" s="219" t="inlineStr">
        <is>
          <t>P-BE</t>
        </is>
      </c>
      <c r="C31" s="218" t="n"/>
      <c r="D31" s="220" t="inlineStr">
        <is>
          <t>Backend - Pendiente / Parcial</t>
        </is>
      </c>
      <c r="E31" s="216" t="n"/>
      <c r="F31" s="216" t="inlineStr">
        <is>
          <t>Tipo / Ámbito principal</t>
        </is>
      </c>
      <c r="G31" s="216" t="n"/>
      <c r="H31" s="216" t="inlineStr">
        <is>
          <t>Ejemplo completo</t>
        </is>
      </c>
      <c r="I31" s="216" t="n"/>
      <c r="J31" s="216" t="inlineStr">
        <is>
          <t>Uso recomendado</t>
        </is>
      </c>
      <c r="K31" s="216" t="n"/>
      <c r="L31" s="218" t="n"/>
      <c r="M31" s="6" t="n"/>
      <c r="N31" s="12" t="n"/>
      <c r="O31" s="221" t="n"/>
      <c r="P31" s="12" t="n"/>
      <c r="Q31" s="218" t="n"/>
      <c r="R31" s="12" t="n"/>
      <c r="S31" s="6" t="n"/>
      <c r="T31" s="13" t="n"/>
      <c r="U31" s="13" t="n"/>
      <c r="V31" s="13" t="n"/>
      <c r="W31" s="13" t="n"/>
      <c r="X31" s="13" t="n"/>
      <c r="Y31" s="6" t="n"/>
      <c r="Z31" s="6" t="n"/>
    </row>
    <row r="32" ht="48" customHeight="1" s="215">
      <c r="A32" s="6" t="n"/>
      <c r="B32" s="219" t="inlineStr">
        <is>
          <t>FR</t>
        </is>
      </c>
      <c r="C32" s="218" t="n"/>
      <c r="D32" s="220" t="inlineStr">
        <is>
          <t>Frontend</t>
        </is>
      </c>
      <c r="E32" s="216" t="n"/>
      <c r="F32" s="216" t="inlineStr">
        <is>
          <t>Requerimiento funcional de backend (API, lógica)</t>
        </is>
      </c>
      <c r="G32" s="216" t="n"/>
      <c r="H32" s="216" t="inlineStr">
        <is>
          <t>BE-01, BE-23a</t>
        </is>
      </c>
      <c r="I32" s="216" t="n"/>
      <c r="J32" s="216" t="inlineStr">
        <is>
          <t>Funcionalidades generales o por endpoint del backend.</t>
        </is>
      </c>
      <c r="K32" s="216" t="n"/>
      <c r="L32" s="218" t="n"/>
      <c r="M32" s="6" t="n"/>
      <c r="N32" s="12" t="n"/>
      <c r="O32" s="221" t="n"/>
      <c r="P32" s="12" t="n"/>
      <c r="Q32" s="218" t="n"/>
      <c r="R32" s="12" t="n"/>
      <c r="S32" s="6" t="n"/>
      <c r="T32" s="13" t="n"/>
      <c r="U32" s="13" t="n"/>
      <c r="V32" s="13" t="n"/>
      <c r="W32" s="13" t="n"/>
      <c r="X32" s="13" t="n"/>
      <c r="Y32" s="6" t="n"/>
      <c r="Z32" s="6" t="n"/>
    </row>
    <row r="33" ht="48" customHeight="1" s="215">
      <c r="A33" s="6" t="n"/>
      <c r="B33" s="219" t="inlineStr">
        <is>
          <t>UI</t>
        </is>
      </c>
      <c r="C33" s="218" t="n"/>
      <c r="D33" s="220" t="inlineStr">
        <is>
          <t>Interfaz de Usuario</t>
        </is>
      </c>
      <c r="E33" s="216" t="n"/>
      <c r="F33" s="216" t="inlineStr">
        <is>
          <t>Requerimiento de backend no implementado (gap)</t>
        </is>
      </c>
      <c r="G33" s="216" t="n"/>
      <c r="H33" s="216" t="inlineStr">
        <is>
          <t>P-BE-01</t>
        </is>
      </c>
      <c r="I33" s="216" t="n"/>
      <c r="J33" s="216" t="inlineStr">
        <is>
          <t>Deseables o futuros del backend, explícitamente no cubiertos aún.</t>
        </is>
      </c>
      <c r="K33" s="216" t="n"/>
      <c r="L33" s="218" t="n"/>
      <c r="M33" s="6" t="n"/>
      <c r="N33" s="12" t="n"/>
      <c r="O33" s="221" t="n"/>
      <c r="P33" s="12" t="n"/>
      <c r="Q33" s="218" t="n"/>
      <c r="R33" s="12" t="n"/>
      <c r="S33" s="6" t="n"/>
      <c r="T33" s="13" t="n"/>
      <c r="U33" s="13" t="n"/>
      <c r="V33" s="13" t="n"/>
      <c r="W33" s="13" t="n"/>
      <c r="X33" s="13" t="n"/>
      <c r="Y33" s="6" t="n"/>
      <c r="Z33" s="6" t="n"/>
    </row>
    <row r="34" ht="48" customHeight="1" s="215">
      <c r="A34" s="6" t="n"/>
      <c r="B34" s="219" t="inlineStr">
        <is>
          <t>LG</t>
        </is>
      </c>
      <c r="C34" s="218" t="n"/>
      <c r="D34" s="220" t="inlineStr">
        <is>
          <t>Login / Gestion de acceso desde el frontend</t>
        </is>
      </c>
      <c r="E34" s="216" t="n"/>
      <c r="F34" s="216" t="inlineStr">
        <is>
          <t>Requerimiento funcional de frontend (UI/flujo)</t>
        </is>
      </c>
      <c r="G34" s="216" t="n"/>
      <c r="H34" s="216" t="inlineStr">
        <is>
          <t>FR-13a, FR-21g</t>
        </is>
      </c>
      <c r="I34" s="216" t="n"/>
      <c r="J34" s="216" t="inlineStr">
        <is>
          <t>Flujos funcionales de la SPA, vistas, pantallas, componentes clave</t>
        </is>
      </c>
      <c r="K34" s="216" t="n"/>
      <c r="L34" s="218" t="n"/>
      <c r="M34" s="6" t="n"/>
      <c r="N34" s="12" t="n"/>
      <c r="O34" s="221" t="n"/>
      <c r="P34" s="12" t="n"/>
      <c r="Q34" s="218" t="n"/>
      <c r="R34" s="12" t="n"/>
      <c r="S34" s="6" t="n"/>
      <c r="T34" s="13" t="n"/>
      <c r="U34" s="13" t="n"/>
      <c r="V34" s="13" t="n"/>
      <c r="W34" s="13" t="n"/>
      <c r="X34" s="13" t="n"/>
      <c r="Y34" s="6" t="n"/>
      <c r="Z34" s="6" t="n"/>
    </row>
    <row r="35" ht="48" customHeight="1" s="215">
      <c r="A35" s="6" t="n"/>
      <c r="B35" s="219" t="inlineStr">
        <is>
          <t>R</t>
        </is>
      </c>
      <c r="C35" s="218" t="n"/>
      <c r="D35" s="220" t="inlineStr">
        <is>
          <t>Routing (Frontend)</t>
        </is>
      </c>
      <c r="E35" s="216" t="n"/>
      <c r="F35" s="216" t="inlineStr">
        <is>
          <t>Detalle visual/UX (colores, animaciones, layout)</t>
        </is>
      </c>
      <c r="G35" s="216" t="n"/>
      <c r="H35" s="216" t="inlineStr">
        <is>
          <t>UI-01a, UI-25f</t>
        </is>
      </c>
      <c r="I35" s="216" t="n"/>
      <c r="J35" s="216" t="inlineStr">
        <is>
          <t>Detalles de diseño, temas claro/oscuro, estados visuales, interacciones</t>
        </is>
      </c>
      <c r="K35" s="216" t="n"/>
      <c r="L35" s="218" t="n"/>
      <c r="M35" s="6" t="n"/>
      <c r="N35" s="12" t="n"/>
      <c r="O35" s="221" t="n"/>
      <c r="P35" s="12" t="n"/>
      <c r="Q35" s="218" t="n"/>
      <c r="R35" s="12" t="n"/>
      <c r="S35" s="6" t="n"/>
      <c r="T35" s="13" t="n"/>
      <c r="U35" s="13" t="n"/>
      <c r="V35" s="13" t="n"/>
      <c r="W35" s="13" t="n"/>
      <c r="X35" s="13" t="n"/>
      <c r="Y35" s="6" t="n"/>
      <c r="Z35" s="6" t="n"/>
    </row>
    <row r="36" ht="48" customHeight="1" s="215">
      <c r="A36" s="6" t="n"/>
      <c r="B36" s="219" t="inlineStr">
        <is>
          <t>CSS</t>
        </is>
      </c>
      <c r="C36" s="218" t="n"/>
      <c r="D36" s="220" t="inlineStr">
        <is>
          <t>Estilos globales de CSS</t>
        </is>
      </c>
      <c r="E36" s="216" t="n"/>
      <c r="F36" s="216" t="inlineStr">
        <is>
          <t xml:space="preserve">Flujo de autenticación en UI   </t>
        </is>
      </c>
      <c r="G36" s="216" t="n"/>
      <c r="H36" s="216" t="inlineStr">
        <is>
          <t xml:space="preserve">LG-03a </t>
        </is>
      </c>
      <c r="I36" s="216" t="n"/>
      <c r="J36" s="216" t="inlineStr">
        <is>
          <t>Campos de login, validaciones en formulario, redirecciones por rol</t>
        </is>
      </c>
      <c r="K36" s="216" t="n"/>
      <c r="L36" s="218" t="n"/>
      <c r="M36" s="6" t="n"/>
      <c r="N36" s="12" t="n"/>
      <c r="O36" s="221" t="n"/>
      <c r="P36" s="12" t="n"/>
      <c r="Q36" s="218" t="n"/>
      <c r="R36" s="12" t="n"/>
      <c r="S36" s="6" t="n"/>
      <c r="T36" s="13" t="n"/>
      <c r="U36" s="13" t="n"/>
      <c r="V36" s="13" t="n"/>
      <c r="W36" s="13" t="n"/>
      <c r="X36" s="13" t="n"/>
      <c r="Y36" s="6" t="n"/>
      <c r="Z36" s="6" t="n"/>
    </row>
    <row r="37" ht="48" customHeight="1" s="215">
      <c r="A37" s="6" t="n"/>
      <c r="B37" s="219" t="inlineStr">
        <is>
          <t>ANIM</t>
        </is>
      </c>
      <c r="C37" s="218" t="n"/>
      <c r="D37" s="220" t="inlineStr">
        <is>
          <t>Animaciones</t>
        </is>
      </c>
      <c r="E37" s="216" t="n"/>
      <c r="F37" s="216" t="inlineStr">
        <is>
          <t>Rutas y navegación SPA</t>
        </is>
      </c>
      <c r="G37" s="216" t="n"/>
      <c r="H37" s="216" t="inlineStr">
        <is>
          <t>R-01, R-08</t>
        </is>
      </c>
      <c r="I37" s="216" t="n"/>
      <c r="J37" s="216" t="inlineStr">
        <is>
          <t>Mapeo URL → página/componente protegido o público</t>
        </is>
      </c>
      <c r="K37" s="216" t="n"/>
      <c r="L37" s="218" t="n"/>
      <c r="M37" s="6" t="n"/>
      <c r="N37" s="12" t="n"/>
      <c r="O37" s="221" t="n"/>
      <c r="P37" s="12" t="n"/>
      <c r="Q37" s="218" t="n"/>
      <c r="R37" s="12" t="n"/>
      <c r="S37" s="6" t="n"/>
      <c r="T37" s="13" t="n"/>
      <c r="U37" s="13" t="n"/>
      <c r="V37" s="13" t="n"/>
      <c r="W37" s="13" t="n"/>
      <c r="X37" s="13" t="n"/>
      <c r="Y37" s="6" t="n"/>
      <c r="Z37" s="6" t="n"/>
    </row>
    <row r="38" ht="48" customHeight="1" s="215">
      <c r="A38" s="6" t="n"/>
      <c r="B38" s="219" t="inlineStr">
        <is>
          <t>T</t>
        </is>
      </c>
      <c r="C38" s="218" t="n"/>
      <c r="D38" s="220" t="inlineStr">
        <is>
          <t>Toast (Notificaciones dentro de la UI)</t>
        </is>
      </c>
      <c r="E38" s="216" t="n"/>
      <c r="F38" s="216" t="inlineStr">
        <is>
          <t>Variables de tema y estilos base</t>
        </is>
      </c>
      <c r="G38" s="216" t="n"/>
      <c r="H38" s="216" t="inlineStr">
        <is>
          <t>CSS-10</t>
        </is>
      </c>
      <c r="I38" s="216" t="n"/>
      <c r="J38" s="216" t="inlineStr">
        <is>
          <t>Variables de color, tipografía, bordes, comportamiento global de CSS</t>
        </is>
      </c>
      <c r="K38" s="216" t="n"/>
      <c r="L38" s="218" t="n"/>
      <c r="M38" s="6" t="n"/>
      <c r="N38" s="12" t="n"/>
      <c r="O38" s="221" t="n"/>
      <c r="P38" s="12" t="n"/>
      <c r="Q38" s="218" t="n"/>
      <c r="R38" s="12" t="n"/>
      <c r="S38" s="6" t="n"/>
      <c r="T38" s="13" t="n"/>
      <c r="U38" s="13" t="n"/>
      <c r="V38" s="13" t="n"/>
      <c r="W38" s="13" t="n"/>
      <c r="X38" s="13" t="n"/>
      <c r="Y38" s="6" t="n"/>
      <c r="Z38" s="6" t="n"/>
    </row>
    <row r="39" ht="48" customHeight="1" s="215">
      <c r="A39" s="6" t="n"/>
      <c r="B39" s="219" t="inlineStr">
        <is>
          <t>NF</t>
        </is>
      </c>
      <c r="C39" s="218" t="n"/>
      <c r="D39" s="220" t="inlineStr">
        <is>
          <t>No Funcional (Global)</t>
        </is>
      </c>
      <c r="E39" s="216" t="n"/>
      <c r="F39" s="216" t="inlineStr">
        <is>
          <t>Variantes y transiciones de `framer-motion`</t>
        </is>
      </c>
      <c r="G39" s="216" t="n"/>
      <c r="H39" s="216" t="inlineStr">
        <is>
          <t xml:space="preserve">ANIM-03 </t>
        </is>
      </c>
      <c r="I39" s="216" t="n"/>
      <c r="J39" s="216" t="inlineStr">
        <is>
          <t xml:space="preserve">Definición de animaciones reutilizables (fadeIn, slide, scale, etc.).    </t>
        </is>
      </c>
      <c r="K39" s="216" t="n"/>
      <c r="L39" s="218" t="n"/>
      <c r="M39" s="6" t="n"/>
      <c r="N39" s="12" t="n"/>
      <c r="O39" s="221" t="n"/>
      <c r="P39" s="12" t="n"/>
      <c r="Q39" s="218" t="n"/>
      <c r="R39" s="12" t="n"/>
      <c r="S39" s="6" t="n"/>
      <c r="T39" s="13" t="n"/>
      <c r="U39" s="13" t="n"/>
      <c r="V39" s="13" t="n"/>
      <c r="W39" s="13" t="n"/>
      <c r="X39" s="13" t="n"/>
      <c r="Y39" s="6" t="n"/>
      <c r="Z39" s="6" t="n"/>
    </row>
    <row r="40" ht="48" customHeight="1" s="215">
      <c r="A40" s="6" t="n"/>
      <c r="B40" s="219" t="inlineStr">
        <is>
          <t>GU</t>
        </is>
      </c>
      <c r="C40" s="218" t="n"/>
      <c r="D40" s="220" t="inlineStr">
        <is>
          <t>Gestion de Usuarios</t>
        </is>
      </c>
      <c r="E40" s="216" t="n"/>
      <c r="F40" s="216" t="inlineStr">
        <is>
          <t xml:space="preserve">Mensajes de feedback al usuario </t>
        </is>
      </c>
      <c r="G40" s="216" t="n"/>
      <c r="H40" s="216" t="inlineStr">
        <is>
          <t xml:space="preserve">T-10, T-21    </t>
        </is>
      </c>
      <c r="I40" s="216" t="n"/>
      <c r="J40" s="216" t="inlineStr">
        <is>
          <t>Mensajes estándar de éxito/error/validación en toasts</t>
        </is>
      </c>
      <c r="K40" s="216" t="n"/>
      <c r="L40" s="218" t="n"/>
      <c r="M40" s="6" t="n"/>
      <c r="N40" s="12" t="n"/>
      <c r="O40" s="221" t="n"/>
      <c r="P40" s="12" t="n"/>
      <c r="Q40" s="218" t="n"/>
      <c r="R40" s="12" t="n"/>
      <c r="S40" s="6" t="n"/>
      <c r="T40" s="13" t="n"/>
      <c r="U40" s="13" t="n"/>
      <c r="V40" s="13" t="n"/>
      <c r="W40" s="13" t="n"/>
      <c r="X40" s="13" t="n"/>
      <c r="Y40" s="6" t="n"/>
      <c r="Z40" s="6" t="n"/>
    </row>
    <row r="41" ht="48" customHeight="1" s="215">
      <c r="A41" s="6" t="n"/>
      <c r="B41" s="219" t="inlineStr">
        <is>
          <t>FI</t>
        </is>
      </c>
      <c r="C41" s="218" t="n"/>
      <c r="D41" s="220" t="inlineStr">
        <is>
          <t>Financiero</t>
        </is>
      </c>
      <c r="E41" s="216" t="n"/>
      <c r="F41" s="216" t="inlineStr">
        <is>
          <t>Requerimiento no funcional del sistema</t>
        </is>
      </c>
      <c r="G41" s="216" t="n"/>
      <c r="H41" s="216" t="inlineStr">
        <is>
          <t xml:space="preserve">NF-09, NF-35 </t>
        </is>
      </c>
      <c r="I41" s="216" t="n"/>
      <c r="J41" s="216" t="inlineStr">
        <is>
          <t>Seguridad, rendimiento, disponibilidad, documentación, integraciones generales</t>
        </is>
      </c>
      <c r="K41" s="216" t="n"/>
      <c r="L41" s="218" t="n"/>
      <c r="M41" s="6" t="n"/>
      <c r="N41" s="12" t="n"/>
      <c r="O41" s="221" t="n"/>
      <c r="P41" s="12" t="n"/>
      <c r="Q41" s="218" t="n"/>
      <c r="R41" s="12" t="n"/>
      <c r="S41" s="6" t="n"/>
      <c r="T41" s="13" t="n"/>
      <c r="U41" s="13" t="n"/>
      <c r="V41" s="13" t="n"/>
      <c r="W41" s="13" t="n"/>
      <c r="X41" s="13" t="n"/>
      <c r="Y41" s="6" t="n"/>
      <c r="Z41" s="6" t="n"/>
    </row>
    <row r="42" ht="48" customHeight="1" s="215">
      <c r="A42" s="6" t="n"/>
      <c r="B42" s="219" t="inlineStr">
        <is>
          <t>DB</t>
        </is>
      </c>
      <c r="C42" s="218" t="n"/>
      <c r="D42" s="220" t="inlineStr">
        <is>
          <t>Base de datos</t>
        </is>
      </c>
      <c r="E42" s="216" t="n"/>
      <c r="F42" s="216" t="inlineStr">
        <is>
          <t>Requerimiento funcional de gestión de usuarios</t>
        </is>
      </c>
      <c r="G42" s="216" t="n"/>
      <c r="H42" s="216" t="inlineStr">
        <is>
          <t>GU-01, GU-20</t>
        </is>
      </c>
      <c r="I42" s="216" t="n"/>
      <c r="J42" s="216" t="inlineStr">
        <is>
          <t>Registro, roles, perfiles, dashboards por rol, permisos de usuario</t>
        </is>
      </c>
      <c r="K42" s="216" t="n"/>
      <c r="L42" s="218" t="n"/>
      <c r="M42" s="6" t="n"/>
      <c r="N42" s="12" t="n"/>
      <c r="O42" s="221" t="n"/>
      <c r="P42" s="12" t="n"/>
      <c r="Q42" s="218" t="n"/>
      <c r="R42" s="12" t="n"/>
      <c r="S42" s="6" t="n"/>
      <c r="T42" s="13" t="n"/>
      <c r="U42" s="13" t="n"/>
      <c r="V42" s="13" t="n"/>
      <c r="W42" s="13" t="n"/>
      <c r="X42" s="13" t="n"/>
      <c r="Y42" s="6" t="n"/>
      <c r="Z42" s="6" t="n"/>
    </row>
    <row r="43" ht="48" customHeight="1" s="215">
      <c r="A43" s="6" t="n"/>
      <c r="B43" s="219" t="inlineStr">
        <is>
          <t>P-DB</t>
        </is>
      </c>
      <c r="C43" s="218" t="n"/>
      <c r="D43" s="220" t="inlineStr">
        <is>
          <t>Base de datos Pendiente / Parcial</t>
        </is>
      </c>
      <c r="E43" s="216" t="n"/>
      <c r="F43" s="216" t="inlineStr">
        <is>
          <t>Requerimiento funcional financiero / contable</t>
        </is>
      </c>
      <c r="G43" s="216" t="n"/>
      <c r="H43" s="216" t="inlineStr">
        <is>
          <t>FI-01, FI-35</t>
        </is>
      </c>
      <c r="I43" s="216" t="n"/>
      <c r="J43" s="216" t="inlineStr">
        <is>
          <t>Facturación, pagos, métricas financieras, integración con pasarelas</t>
        </is>
      </c>
      <c r="K43" s="216" t="n"/>
      <c r="L43" s="218" t="n"/>
      <c r="M43" s="6" t="n"/>
      <c r="N43" s="12" t="n"/>
      <c r="O43" s="221" t="n"/>
      <c r="P43" s="12" t="n"/>
      <c r="Q43" s="218" t="n"/>
      <c r="R43" s="12" t="n"/>
      <c r="S43" s="6" t="n"/>
      <c r="T43" s="13" t="n"/>
      <c r="U43" s="13" t="n"/>
      <c r="V43" s="13" t="n"/>
      <c r="W43" s="13" t="n"/>
      <c r="X43" s="13" t="n"/>
      <c r="Y43" s="6" t="n"/>
      <c r="Z43" s="6" t="n"/>
    </row>
    <row r="44" ht="48" customHeight="1" s="215">
      <c r="A44" s="6" t="n"/>
      <c r="B44" s="219" t="inlineStr">
        <is>
          <t>P-XX</t>
        </is>
      </c>
      <c r="C44" s="218" t="n"/>
      <c r="D44" s="220" t="inlineStr">
        <is>
          <t>Pendiente (Para cualquier Area)</t>
        </is>
      </c>
      <c r="E44" s="216" t="n"/>
      <c r="F44" s="216" t="inlineStr">
        <is>
          <t>Requerimiento de modelo / SQL / integridad</t>
        </is>
      </c>
      <c r="G44" s="216" t="n"/>
      <c r="H44" s="216" t="inlineStr">
        <is>
          <t>DB-06, DB-40</t>
        </is>
      </c>
      <c r="I44" s="216" t="n"/>
      <c r="J44" s="216" t="inlineStr">
        <is>
          <t>Tablas, constraints, índices, funciones y triggers de BD</t>
        </is>
      </c>
      <c r="K44" s="216" t="n"/>
      <c r="L44" s="218" t="n"/>
      <c r="M44" s="6" t="n"/>
      <c r="N44" s="12" t="n"/>
      <c r="O44" s="221" t="n"/>
      <c r="P44" s="12" t="n"/>
      <c r="Q44" s="218" t="n"/>
      <c r="R44" s="12" t="n"/>
      <c r="S44" s="6" t="n"/>
      <c r="T44" s="13" t="n"/>
      <c r="U44" s="13" t="n"/>
      <c r="V44" s="13" t="n"/>
      <c r="W44" s="13" t="n"/>
      <c r="X44" s="13" t="n"/>
      <c r="Y44" s="6" t="n"/>
      <c r="Z44" s="6" t="n"/>
    </row>
    <row r="45" ht="15.75" customHeight="1" s="215">
      <c r="B45" s="222" t="inlineStr">
        <is>
          <t>P-DB</t>
        </is>
      </c>
      <c r="C45" s="218" t="n"/>
      <c r="D45" s="223" t="inlineStr">
        <is>
          <t>Base de datos Pendiente / Parcial</t>
        </is>
      </c>
      <c r="E45" s="218" t="n"/>
      <c r="F45" s="223" t="inlineStr">
        <is>
          <t xml:space="preserve">Requerimiento de BD no implementado (gap)     </t>
        </is>
      </c>
      <c r="G45" s="218" t="n"/>
      <c r="H45" s="223" t="inlineStr">
        <is>
          <t xml:space="preserve">P-DB-01 </t>
        </is>
      </c>
      <c r="I45" s="218" t="n"/>
      <c r="J45" s="223" t="inlineStr">
        <is>
          <t>Reglas de BD deseadas pero no implementadas (modo mantenimiento, escalabilidad)</t>
        </is>
      </c>
      <c r="K45" s="218" t="n"/>
    </row>
    <row r="46" ht="15.75" customHeight="1" s="215">
      <c r="B46" s="222" t="inlineStr">
        <is>
          <t>P-XX</t>
        </is>
      </c>
      <c r="C46" s="218" t="n"/>
      <c r="D46" s="223" t="inlineStr">
        <is>
          <t>Pendiente (Para cualquier Area)</t>
        </is>
      </c>
      <c r="E46" s="218" t="n"/>
      <c r="F46" s="223" t="inlineStr">
        <is>
          <t xml:space="preserve">Ítem pendiente o futuro (no cubierto hoy)  </t>
        </is>
      </c>
      <c r="G46" s="218" t="n"/>
      <c r="H46" s="223" t="inlineStr">
        <is>
          <t>P-01a, P-06a</t>
        </is>
      </c>
      <c r="I46" s="218" t="n"/>
      <c r="J46" s="223" t="inlineStr">
        <is>
          <t>Tareas futuras identificadas (accesibilidad, escalabilidad, OAuth, etc.)</t>
        </is>
      </c>
      <c r="K46" s="218" t="n"/>
    </row>
    <row r="47" ht="15.75" customHeight="1" s="215"/>
    <row r="48" ht="15.75" customHeight="1" s="215"/>
    <row r="49" ht="15.75" customHeight="1" s="215">
      <c r="B49" s="26" t="inlineStr">
        <is>
          <t>Significado de sufijos tipo a, b, etc. (ej. BE-23a)</t>
        </is>
      </c>
    </row>
    <row r="50" ht="15.75" customHeight="1" s="215">
      <c r="B50" s="220" t="inlineStr">
        <is>
          <t>BE-23 → grupo de requerimientos (por ejemplo, “Endpoints de credenciales”).</t>
        </is>
      </c>
    </row>
    <row r="51" ht="15.75" customHeight="1" s="215">
      <c r="B51" s="220" t="inlineStr">
        <is>
          <t>BE-23a → primer requerimiento atómico de ese grupo (ej. POST /credenciales/login).</t>
        </is>
      </c>
    </row>
    <row r="52" ht="15.75" customHeight="1" s="215">
      <c r="B52" s="220" t="inlineStr">
        <is>
          <t>BE-23b → segundo atómico del mismo grupo (ej. POST /credenciales/refresh).</t>
        </is>
      </c>
    </row>
    <row r="53" ht="15.75" customHeight="1" s="215">
      <c r="B53" s="220" t="inlineStr">
        <is>
          <t>BE-23c → tercero, etc.</t>
        </is>
      </c>
    </row>
    <row r="54" ht="15.75" customHeight="1" s="215"/>
    <row r="55" ht="15.75" customHeight="1" s="215">
      <c r="B55" s="28" t="inlineStr">
        <is>
          <t>En general:</t>
        </is>
      </c>
    </row>
    <row r="56" ht="15.75" customHeight="1" s="215">
      <c r="B56" s="29" t="inlineStr">
        <is>
          <t>Número (23) = bloque funcional o tema.</t>
        </is>
      </c>
    </row>
    <row r="57" ht="15" customHeight="1" s="215">
      <c r="B57" s="29" t="inlineStr">
        <is>
          <t>Letra (a, b, c…) = detalle específico verificable (un endpoint, una función, un caso de uso muy concreto) que pertenece a ese bloque.</t>
        </is>
      </c>
    </row>
    <row r="58" ht="15.75" customHeight="1" s="215">
      <c r="B58" s="30" t="inlineStr">
        <is>
          <t>Esto te permite en Excel (y en la documentación):</t>
        </is>
      </c>
    </row>
    <row r="59" ht="15" customHeight="1" s="215">
      <c r="B59" s="29" t="inlineStr">
        <is>
          <t>Tener una fila para el requerimiento general (sin letra) si lo necesitas.</t>
        </is>
      </c>
    </row>
    <row r="60" ht="15" customHeight="1" s="215">
      <c r="B60" s="29" t="inlineStr">
        <is>
          <t>Tener varias filas muy precisas (BE-23a, BE-23b, …) para marcar cumplimiento por caso atómico sin perder la relación con el grupo principal.</t>
        </is>
      </c>
    </row>
    <row r="61" ht="15.75" customHeight="1" s="215"/>
    <row r="62" ht="15.75" customHeight="1" s="215"/>
    <row r="63" ht="15.75" customHeight="1" s="215"/>
    <row r="64" ht="15.75" customHeight="1" s="215"/>
    <row r="65" ht="15.75" customHeight="1" s="215"/>
    <row r="66" ht="15.75" customHeight="1" s="215"/>
    <row r="67" ht="15.75" customHeight="1" s="215"/>
    <row r="68" ht="15.75" customHeight="1" s="215"/>
    <row r="69" ht="15.75" customHeight="1" s="215"/>
    <row r="70" ht="15.75" customHeight="1" s="215"/>
    <row r="71" ht="15.75" customHeight="1" s="215"/>
    <row r="72" ht="15.75" customHeight="1" s="215"/>
    <row r="73" ht="15.75" customHeight="1" s="215"/>
    <row r="74" ht="15.75" customHeight="1" s="215"/>
    <row r="75" ht="15.75" customHeight="1" s="215"/>
    <row r="76" ht="15.75" customHeight="1" s="215"/>
    <row r="77" ht="15.75" customHeight="1" s="215"/>
    <row r="78" ht="15.75" customHeight="1" s="215"/>
    <row r="79" ht="15.75" customHeight="1" s="215"/>
    <row r="80" ht="15.75" customHeight="1" s="215"/>
    <row r="81" ht="15.75" customHeight="1" s="215"/>
    <row r="82" ht="15.75" customHeight="1" s="215"/>
    <row r="83" ht="15.75" customHeight="1" s="215"/>
    <row r="84" ht="15.75" customHeight="1" s="215"/>
    <row r="85" ht="15.75" customHeight="1" s="215"/>
    <row r="86" ht="15.75" customHeight="1" s="215"/>
    <row r="87" ht="15.75" customHeight="1" s="215"/>
    <row r="88" ht="15.75" customHeight="1" s="215"/>
    <row r="89" ht="15.75" customHeight="1" s="215"/>
    <row r="90" ht="15.75" customHeight="1" s="215"/>
    <row r="91" ht="15.75" customHeight="1" s="215"/>
    <row r="92" ht="15.75" customHeight="1" s="215"/>
    <row r="93" ht="15.75" customHeight="1" s="215"/>
    <row r="94" ht="15.75" customHeight="1" s="215"/>
    <row r="95" ht="15.75" customHeight="1" s="215"/>
    <row r="96" ht="15.75" customHeight="1" s="215"/>
    <row r="97" ht="15.75" customHeight="1" s="215"/>
    <row r="98" ht="15.75" customHeight="1" s="215"/>
    <row r="99" ht="15.75" customHeight="1" s="215"/>
    <row r="100" ht="15.75" customHeight="1" s="215"/>
    <row r="101" ht="15.75" customHeight="1" s="215"/>
    <row r="102" ht="15.75" customHeight="1" s="215"/>
    <row r="103" ht="15.75" customHeight="1" s="215"/>
    <row r="104" ht="15.75" customHeight="1" s="215"/>
    <row r="105" ht="15.75" customHeight="1" s="215"/>
    <row r="106" ht="15.75" customHeight="1" s="215"/>
    <row r="107" ht="15.75" customHeight="1" s="215"/>
    <row r="108" ht="15.75" customHeight="1" s="215"/>
    <row r="109" ht="15.75" customHeight="1" s="215"/>
    <row r="110" ht="15.75" customHeight="1" s="215"/>
    <row r="111" ht="15.75" customHeight="1" s="215"/>
    <row r="112" ht="15.75" customHeight="1" s="215"/>
    <row r="113" ht="15.75" customHeight="1" s="215"/>
    <row r="114" ht="15.75" customHeight="1" s="215"/>
    <row r="115" ht="15.75" customHeight="1" s="215"/>
    <row r="116" ht="15.75" customHeight="1" s="215"/>
    <row r="117" ht="15.75" customHeight="1" s="215"/>
    <row r="118" ht="15.75" customHeight="1" s="215"/>
    <row r="119" ht="15.75" customHeight="1" s="215"/>
    <row r="120" ht="15.75" customHeight="1" s="215"/>
    <row r="121" ht="15.75" customHeight="1" s="215"/>
    <row r="122" ht="15.75" customHeight="1" s="215"/>
    <row r="123" ht="15.75" customHeight="1" s="215"/>
    <row r="124" ht="15.75" customHeight="1" s="215"/>
    <row r="125" ht="15.75" customHeight="1" s="215"/>
    <row r="126" ht="15.75" customHeight="1" s="215"/>
    <row r="127" ht="15.75" customHeight="1" s="215"/>
    <row r="128" ht="15.75" customHeight="1" s="215"/>
    <row r="129" ht="15.75" customHeight="1" s="215"/>
    <row r="130" ht="15.75" customHeight="1" s="215"/>
    <row r="131" ht="15.75" customHeight="1" s="215"/>
    <row r="132" ht="15.75" customHeight="1" s="215"/>
    <row r="133" ht="15.75" customHeight="1" s="215"/>
    <row r="134" ht="15.75" customHeight="1" s="215"/>
    <row r="135" ht="15.75" customHeight="1" s="215"/>
    <row r="136" ht="15.75" customHeight="1" s="215"/>
    <row r="137" ht="15.75" customHeight="1" s="215"/>
    <row r="138" ht="15.75" customHeight="1" s="215"/>
    <row r="139" ht="15.75" customHeight="1" s="215"/>
    <row r="140" ht="15.75" customHeight="1" s="215"/>
    <row r="141" ht="15.75" customHeight="1" s="215"/>
    <row r="142" ht="15.75" customHeight="1" s="215"/>
    <row r="143" ht="15.75" customHeight="1" s="215"/>
    <row r="144" ht="15.75" customHeight="1" s="215"/>
    <row r="145" ht="15.75" customHeight="1" s="215"/>
    <row r="146" ht="15.75" customHeight="1" s="215"/>
    <row r="147" ht="15.75" customHeight="1" s="215"/>
    <row r="148" ht="15.75" customHeight="1" s="215"/>
    <row r="149" ht="15.75" customHeight="1" s="215"/>
    <row r="150" ht="15.75" customHeight="1" s="215"/>
    <row r="151" ht="15.75" customHeight="1" s="215"/>
    <row r="152" ht="15.75" customHeight="1" s="215"/>
    <row r="153" ht="15.75" customHeight="1" s="215"/>
    <row r="154" ht="15.75" customHeight="1" s="215"/>
    <row r="155" ht="15.75" customHeight="1" s="215"/>
    <row r="156" ht="15.75" customHeight="1" s="215"/>
    <row r="157" ht="15.75" customHeight="1" s="215"/>
    <row r="158" ht="15.75" customHeight="1" s="215"/>
    <row r="159" ht="15.75" customHeight="1" s="215"/>
    <row r="160" ht="15.75" customHeight="1" s="215"/>
    <row r="161" ht="15.75" customHeight="1" s="215"/>
    <row r="162" ht="15.75" customHeight="1" s="215"/>
    <row r="163" ht="15.75" customHeight="1" s="215"/>
    <row r="164" ht="15.75" customHeight="1" s="215"/>
    <row r="165" ht="15.75" customHeight="1" s="215"/>
    <row r="166" ht="15.75" customHeight="1" s="215"/>
    <row r="167" ht="15.75" customHeight="1" s="215"/>
    <row r="168" ht="15.75" customHeight="1" s="215"/>
    <row r="169" ht="15.75" customHeight="1" s="215"/>
    <row r="170" ht="15.75" customHeight="1" s="215"/>
    <row r="171" ht="15.75" customHeight="1" s="215"/>
    <row r="172" ht="15.75" customHeight="1" s="215"/>
    <row r="173" ht="15.75" customHeight="1" s="215"/>
    <row r="174" ht="15.75" customHeight="1" s="215"/>
    <row r="175" ht="15.75" customHeight="1" s="215"/>
    <row r="176" ht="15.75" customHeight="1" s="215"/>
    <row r="177" ht="15.75" customHeight="1" s="215"/>
    <row r="178" ht="15.75" customHeight="1" s="215"/>
    <row r="179" ht="15.75" customHeight="1" s="215"/>
    <row r="180" ht="15.75" customHeight="1" s="215"/>
    <row r="181" ht="15.75" customHeight="1" s="215"/>
    <row r="182" ht="15.75" customHeight="1" s="215"/>
    <row r="183" ht="15.75" customHeight="1" s="215"/>
    <row r="184" ht="15.75" customHeight="1" s="215"/>
    <row r="185" ht="15.75" customHeight="1" s="215"/>
    <row r="186" ht="15.75" customHeight="1" s="215"/>
    <row r="187" ht="15.75" customHeight="1" s="215"/>
    <row r="188" ht="15.75" customHeight="1" s="215"/>
    <row r="189" ht="15.75" customHeight="1" s="215"/>
    <row r="190" ht="15.75" customHeight="1" s="215"/>
    <row r="191" ht="15.75" customHeight="1" s="215"/>
    <row r="192" ht="15.75" customHeight="1" s="215"/>
    <row r="193" ht="15.75" customHeight="1" s="215"/>
    <row r="194" ht="15.75" customHeight="1" s="215"/>
    <row r="195" ht="15.75" customHeight="1" s="215"/>
    <row r="196" ht="15.75" customHeight="1" s="215"/>
    <row r="197" ht="15.75" customHeight="1" s="215"/>
    <row r="198" ht="15.75" customHeight="1" s="215"/>
    <row r="199" ht="15.75" customHeight="1" s="215"/>
    <row r="200" ht="15.75" customHeight="1" s="215"/>
    <row r="201" ht="15.75" customHeight="1" s="215"/>
    <row r="202" ht="15.75" customHeight="1" s="215"/>
    <row r="203" ht="15.75" customHeight="1" s="215"/>
    <row r="204" ht="15.75" customHeight="1" s="215"/>
    <row r="205" ht="15.75" customHeight="1" s="215"/>
    <row r="206" ht="15.75" customHeight="1" s="215"/>
    <row r="207" ht="15.75" customHeight="1" s="215"/>
    <row r="208" ht="15.75" customHeight="1" s="215"/>
    <row r="209" ht="15.75" customHeight="1" s="215"/>
    <row r="210" ht="15.75" customHeight="1" s="215"/>
    <row r="211" ht="15.75" customHeight="1" s="215"/>
    <row r="212" ht="15.75" customHeight="1" s="215"/>
    <row r="213" ht="15.75" customHeight="1" s="215"/>
    <row r="214" ht="15.75" customHeight="1" s="215"/>
    <row r="215" ht="15.75" customHeight="1" s="215"/>
    <row r="216" ht="15.75" customHeight="1" s="215"/>
    <row r="217" ht="15.75" customHeight="1" s="215"/>
    <row r="218" ht="15.75" customHeight="1" s="215"/>
    <row r="219" ht="15.75" customHeight="1" s="215"/>
    <row r="220" ht="15.75" customHeight="1" s="215"/>
    <row r="221" ht="15.75" customHeight="1" s="215"/>
    <row r="222" ht="15.75" customHeight="1" s="215"/>
    <row r="223" ht="15.75" customHeight="1" s="215"/>
    <row r="224" ht="15.75" customHeight="1" s="215"/>
    <row r="225" ht="15.75" customHeight="1" s="215"/>
    <row r="226" ht="15.75" customHeight="1" s="215"/>
    <row r="227" ht="15.75" customHeight="1" s="215"/>
    <row r="228" ht="15.75" customHeight="1" s="215"/>
    <row r="229" ht="15.75" customHeight="1" s="215"/>
    <row r="230" ht="15.75" customHeight="1" s="215"/>
    <row r="231" ht="15.75" customHeight="1" s="215"/>
    <row r="232" ht="15.75" customHeight="1" s="215"/>
    <row r="233" ht="15.75" customHeight="1" s="215"/>
    <row r="234" ht="15.75" customHeight="1" s="215"/>
    <row r="235" ht="15.75" customHeight="1" s="215"/>
    <row r="236" ht="15.75" customHeight="1" s="215"/>
    <row r="237" ht="15.75" customHeight="1" s="215"/>
    <row r="238" ht="15.75" customHeight="1" s="215"/>
    <row r="239" ht="15.75" customHeight="1" s="215"/>
    <row r="240" ht="15.75" customHeight="1" s="215"/>
    <row r="241" ht="15.75" customHeight="1" s="215"/>
    <row r="242" ht="15.75" customHeight="1" s="215"/>
    <row r="243" ht="15.75" customHeight="1" s="215"/>
    <row r="244" ht="15.75" customHeight="1" s="215"/>
    <row r="245" ht="15.75" customHeight="1" s="215"/>
    <row r="246" ht="15.75" customHeight="1" s="215"/>
    <row r="247" ht="15.75" customHeight="1" s="215"/>
    <row r="248" ht="15.75" customHeight="1" s="215"/>
    <row r="249" ht="15.75" customHeight="1" s="215"/>
    <row r="250" ht="15.75" customHeight="1" s="215"/>
    <row r="251" ht="15.75" customHeight="1" s="215"/>
    <row r="252" ht="15.75" customHeight="1" s="215"/>
    <row r="253" ht="15.75" customHeight="1" s="215"/>
    <row r="254" ht="15.75" customHeight="1" s="215"/>
    <row r="255" ht="15.75" customHeight="1" s="215"/>
    <row r="256" ht="15.75" customHeight="1" s="215"/>
    <row r="257" ht="15.75" customHeight="1" s="215"/>
    <row r="258" ht="15.75" customHeight="1" s="215"/>
    <row r="259" ht="15.75" customHeight="1" s="215"/>
    <row r="260" ht="15.75" customHeight="1" s="215"/>
    <row r="261" ht="15.75" customHeight="1" s="215"/>
    <row r="262" ht="15.75" customHeight="1" s="215"/>
    <row r="263" ht="15.75" customHeight="1" s="215"/>
    <row r="264" ht="15.75" customHeight="1" s="215"/>
    <row r="265" ht="15.75" customHeight="1" s="215"/>
    <row r="266" ht="15.75" customHeight="1" s="215"/>
    <row r="267" ht="15.75" customHeight="1" s="215"/>
    <row r="268" ht="15.75" customHeight="1" s="215"/>
    <row r="269" ht="15.75" customHeight="1" s="215"/>
    <row r="270" ht="15.75" customHeight="1" s="215"/>
    <row r="271" ht="15.75" customHeight="1" s="215"/>
    <row r="272" ht="15.75" customHeight="1" s="215"/>
    <row r="273" ht="15.75" customHeight="1" s="215"/>
    <row r="274" ht="15.75" customHeight="1" s="215"/>
    <row r="275" ht="15.75" customHeight="1" s="215"/>
    <row r="276" ht="15.75" customHeight="1" s="215"/>
    <row r="277" ht="15.75" customHeight="1" s="215"/>
    <row r="278" ht="15.75" customHeight="1" s="215"/>
    <row r="279" ht="15.75" customHeight="1" s="215"/>
    <row r="280" ht="15.75" customHeight="1" s="215"/>
    <row r="281" ht="15.75" customHeight="1" s="215"/>
    <row r="282" ht="15.75" customHeight="1" s="215"/>
    <row r="283" ht="15.75" customHeight="1" s="215"/>
    <row r="284" ht="15.75" customHeight="1" s="215"/>
    <row r="285" ht="15.75" customHeight="1" s="215"/>
    <row r="286" ht="15.75" customHeight="1" s="215"/>
    <row r="287" ht="15.75" customHeight="1" s="215"/>
    <row r="288" ht="15.75" customHeight="1" s="215"/>
    <row r="289" ht="15.75" customHeight="1" s="215"/>
    <row r="290" ht="15.75" customHeight="1" s="215"/>
    <row r="291" ht="15.75" customHeight="1" s="215"/>
    <row r="292" ht="15.75" customHeight="1" s="215"/>
    <row r="293" ht="15.75" customHeight="1" s="215"/>
    <row r="294" ht="15.75" customHeight="1" s="215"/>
    <row r="295" ht="15.75" customHeight="1" s="215"/>
    <row r="296" ht="15.75" customHeight="1" s="215"/>
    <row r="297" ht="15.75" customHeight="1" s="215"/>
    <row r="298" ht="15.75" customHeight="1" s="215"/>
    <row r="299" ht="15.75" customHeight="1" s="215"/>
    <row r="300" ht="15.75" customHeight="1" s="215"/>
    <row r="301" ht="15.75" customHeight="1" s="215"/>
    <row r="302" ht="15.75" customHeight="1" s="215"/>
    <row r="303" ht="15.75" customHeight="1" s="215"/>
    <row r="304" ht="15.75" customHeight="1" s="215"/>
    <row r="305" ht="15.75" customHeight="1" s="215"/>
    <row r="306" ht="15.75" customHeight="1" s="215"/>
    <row r="307" ht="15.75" customHeight="1" s="215"/>
    <row r="308" ht="15.75" customHeight="1" s="215"/>
    <row r="309" ht="15.75" customHeight="1" s="215"/>
    <row r="310" ht="15.75" customHeight="1" s="215"/>
    <row r="311" ht="15.75" customHeight="1" s="215"/>
    <row r="312" ht="15.75" customHeight="1" s="215"/>
    <row r="313" ht="15.75" customHeight="1" s="215"/>
    <row r="314" ht="15.75" customHeight="1" s="215"/>
    <row r="315" ht="15.75" customHeight="1" s="215"/>
    <row r="316" ht="15.75" customHeight="1" s="215"/>
    <row r="317" ht="15.75" customHeight="1" s="215"/>
    <row r="318" ht="15.75" customHeight="1" s="215"/>
    <row r="319" ht="15.75" customHeight="1" s="215"/>
    <row r="320" ht="15.75" customHeight="1" s="215"/>
    <row r="321" ht="15.75" customHeight="1" s="215"/>
    <row r="322" ht="15.75" customHeight="1" s="215"/>
    <row r="323" ht="15.75" customHeight="1" s="215"/>
    <row r="324" ht="15.75" customHeight="1" s="215"/>
    <row r="325" ht="15.75" customHeight="1" s="215"/>
    <row r="326" ht="15.75" customHeight="1" s="215"/>
    <row r="327" ht="15.75" customHeight="1" s="215"/>
    <row r="328" ht="15.75" customHeight="1" s="215"/>
    <row r="329" ht="15.75" customHeight="1" s="215"/>
    <row r="330" ht="15.75" customHeight="1" s="215"/>
    <row r="331" ht="15.75" customHeight="1" s="215"/>
    <row r="332" ht="15.75" customHeight="1" s="215"/>
    <row r="333" ht="15.75" customHeight="1" s="215"/>
    <row r="334" ht="15.75" customHeight="1" s="215"/>
    <row r="335" ht="15.75" customHeight="1" s="215"/>
    <row r="336" ht="15.75" customHeight="1" s="215"/>
    <row r="337" ht="15.75" customHeight="1" s="215"/>
    <row r="338" ht="15.75" customHeight="1" s="215"/>
    <row r="339" ht="15.75" customHeight="1" s="215"/>
    <row r="340" ht="15.75" customHeight="1" s="215"/>
    <row r="341" ht="15.75" customHeight="1" s="215"/>
    <row r="342" ht="15.75" customHeight="1" s="215"/>
    <row r="343" ht="15.75" customHeight="1" s="215"/>
    <row r="344" ht="15.75" customHeight="1" s="215"/>
    <row r="345" ht="15.75" customHeight="1" s="215"/>
    <row r="346" ht="15.75" customHeight="1" s="215"/>
    <row r="347" ht="15.75" customHeight="1" s="215"/>
    <row r="348" ht="15.75" customHeight="1" s="215"/>
    <row r="349" ht="15.75" customHeight="1" s="215"/>
    <row r="350" ht="15.75" customHeight="1" s="215"/>
    <row r="351" ht="15.75" customHeight="1" s="215"/>
    <row r="352" ht="15.75" customHeight="1" s="215"/>
    <row r="353" ht="15.75" customHeight="1" s="215"/>
    <row r="354" ht="15.75" customHeight="1" s="215"/>
    <row r="355" ht="15.75" customHeight="1" s="215"/>
    <row r="356" ht="15.75" customHeight="1" s="215"/>
    <row r="357" ht="15.75" customHeight="1" s="215"/>
    <row r="358" ht="15.75" customHeight="1" s="215"/>
    <row r="359" ht="15.75" customHeight="1" s="215"/>
    <row r="360" ht="15.75" customHeight="1" s="215"/>
    <row r="361" ht="15.75" customHeight="1" s="215"/>
    <row r="362" ht="15.75" customHeight="1" s="215"/>
    <row r="363" ht="15.75" customHeight="1" s="215"/>
    <row r="364" ht="15.75" customHeight="1" s="215"/>
    <row r="365" ht="15.75" customHeight="1" s="215"/>
    <row r="366" ht="15.75" customHeight="1" s="215"/>
    <row r="367" ht="15.75" customHeight="1" s="215"/>
    <row r="368" ht="15.75" customHeight="1" s="215"/>
    <row r="369" ht="15.75" customHeight="1" s="215"/>
    <row r="370" ht="15.75" customHeight="1" s="215"/>
    <row r="371" ht="15.75" customHeight="1" s="215"/>
    <row r="372" ht="15.75" customHeight="1" s="215"/>
    <row r="373" ht="15.75" customHeight="1" s="215"/>
    <row r="374" ht="15.75" customHeight="1" s="215"/>
    <row r="375" ht="15.75" customHeight="1" s="215"/>
    <row r="376" ht="15.75" customHeight="1" s="215"/>
    <row r="377" ht="15.75" customHeight="1" s="215"/>
    <row r="378" ht="15.75" customHeight="1" s="215"/>
    <row r="379" ht="15.75" customHeight="1" s="215"/>
    <row r="380" ht="15.75" customHeight="1" s="215"/>
    <row r="381" ht="15.75" customHeight="1" s="215"/>
    <row r="382" ht="15.75" customHeight="1" s="215"/>
    <row r="383" ht="15.75" customHeight="1" s="215"/>
    <row r="384" ht="15.75" customHeight="1" s="215"/>
    <row r="385" ht="15.75" customHeight="1" s="215"/>
    <row r="386" ht="15.75" customHeight="1" s="215"/>
    <row r="387" ht="15.75" customHeight="1" s="215"/>
    <row r="388" ht="15.75" customHeight="1" s="215"/>
    <row r="389" ht="15.75" customHeight="1" s="215"/>
    <row r="390" ht="15.75" customHeight="1" s="215"/>
    <row r="391" ht="15.75" customHeight="1" s="215"/>
    <row r="392" ht="15.75" customHeight="1" s="215"/>
    <row r="393" ht="15.75" customHeight="1" s="215"/>
    <row r="394" ht="15.75" customHeight="1" s="215"/>
    <row r="395" ht="15.75" customHeight="1" s="215"/>
    <row r="396" ht="15.75" customHeight="1" s="215"/>
    <row r="397" ht="15.75" customHeight="1" s="215"/>
    <row r="398" ht="15.75" customHeight="1" s="215"/>
    <row r="399" ht="15.75" customHeight="1" s="215"/>
    <row r="400" ht="15.75" customHeight="1" s="215"/>
    <row r="401" ht="15.75" customHeight="1" s="215"/>
    <row r="402" ht="15.75" customHeight="1" s="215"/>
    <row r="403" ht="15.75" customHeight="1" s="215"/>
    <row r="404" ht="15.75" customHeight="1" s="215"/>
    <row r="405" ht="15.75" customHeight="1" s="215"/>
    <row r="406" ht="15.75" customHeight="1" s="215"/>
    <row r="407" ht="15.75" customHeight="1" s="215"/>
    <row r="408" ht="15.75" customHeight="1" s="215"/>
    <row r="409" ht="15.75" customHeight="1" s="215"/>
    <row r="410" ht="15.75" customHeight="1" s="215"/>
    <row r="411" ht="15.75" customHeight="1" s="215"/>
    <row r="412" ht="15.75" customHeight="1" s="215"/>
    <row r="413" ht="15.75" customHeight="1" s="215"/>
    <row r="414" ht="15.75" customHeight="1" s="215"/>
    <row r="415" ht="15.75" customHeight="1" s="215"/>
    <row r="416" ht="15.75" customHeight="1" s="215"/>
    <row r="417" ht="15.75" customHeight="1" s="215"/>
    <row r="418" ht="15.75" customHeight="1" s="215"/>
    <row r="419" ht="15.75" customHeight="1" s="215"/>
    <row r="420" ht="15.75" customHeight="1" s="215"/>
    <row r="421" ht="15.75" customHeight="1" s="215"/>
    <row r="422" ht="15.75" customHeight="1" s="215"/>
    <row r="423" ht="15.75" customHeight="1" s="215"/>
    <row r="424" ht="15.75" customHeight="1" s="215"/>
    <row r="425" ht="15.75" customHeight="1" s="215"/>
    <row r="426" ht="15.75" customHeight="1" s="215"/>
    <row r="427" ht="15.75" customHeight="1" s="215"/>
    <row r="428" ht="15.75" customHeight="1" s="215"/>
    <row r="429" ht="15.75" customHeight="1" s="215"/>
    <row r="430" ht="15.75" customHeight="1" s="215"/>
    <row r="431" ht="15.75" customHeight="1" s="215"/>
    <row r="432" ht="15.75" customHeight="1" s="215"/>
    <row r="433" ht="15.75" customHeight="1" s="215"/>
    <row r="434" ht="15.75" customHeight="1" s="215"/>
    <row r="435" ht="15.75" customHeight="1" s="215"/>
    <row r="436" ht="15.75" customHeight="1" s="215"/>
    <row r="437" ht="15.75" customHeight="1" s="215"/>
    <row r="438" ht="15.75" customHeight="1" s="215"/>
    <row r="439" ht="15.75" customHeight="1" s="215"/>
    <row r="440" ht="15.75" customHeight="1" s="215"/>
    <row r="441" ht="15.75" customHeight="1" s="215"/>
    <row r="442" ht="15.75" customHeight="1" s="215"/>
    <row r="443" ht="15.75" customHeight="1" s="215"/>
    <row r="444" ht="15.75" customHeight="1" s="215"/>
    <row r="445" ht="15.75" customHeight="1" s="215"/>
    <row r="446" ht="15.75" customHeight="1" s="215"/>
    <row r="447" ht="15.75" customHeight="1" s="215"/>
    <row r="448" ht="15.75" customHeight="1" s="215"/>
    <row r="449" ht="15.75" customHeight="1" s="215"/>
    <row r="450" ht="15.75" customHeight="1" s="215"/>
    <row r="451" ht="15.75" customHeight="1" s="215"/>
    <row r="452" ht="15.75" customHeight="1" s="215"/>
    <row r="453" ht="15.75" customHeight="1" s="215"/>
    <row r="454" ht="15.75" customHeight="1" s="215"/>
    <row r="455" ht="15.75" customHeight="1" s="215"/>
    <row r="456" ht="15.75" customHeight="1" s="215"/>
    <row r="457" ht="15.75" customHeight="1" s="215"/>
    <row r="458" ht="15.75" customHeight="1" s="215"/>
    <row r="459" ht="15.75" customHeight="1" s="215"/>
    <row r="460" ht="15.75" customHeight="1" s="215"/>
    <row r="461" ht="15.75" customHeight="1" s="215"/>
    <row r="462" ht="15.75" customHeight="1" s="215"/>
    <row r="463" ht="15.75" customHeight="1" s="215"/>
    <row r="464" ht="15.75" customHeight="1" s="215"/>
    <row r="465" ht="15.75" customHeight="1" s="215"/>
    <row r="466" ht="15.75" customHeight="1" s="215"/>
    <row r="467" ht="15.75" customHeight="1" s="215"/>
    <row r="468" ht="15.75" customHeight="1" s="215"/>
    <row r="469" ht="15.75" customHeight="1" s="215"/>
    <row r="470" ht="15.75" customHeight="1" s="215"/>
    <row r="471" ht="15.75" customHeight="1" s="215"/>
    <row r="472" ht="15.75" customHeight="1" s="215"/>
    <row r="473" ht="15.75" customHeight="1" s="215"/>
    <row r="474" ht="15.75" customHeight="1" s="215"/>
    <row r="475" ht="15.75" customHeight="1" s="215"/>
    <row r="476" ht="15.75" customHeight="1" s="215"/>
    <row r="477" ht="15.75" customHeight="1" s="215"/>
    <row r="478" ht="15.75" customHeight="1" s="215"/>
    <row r="479" ht="15.75" customHeight="1" s="215"/>
    <row r="480" ht="15.75" customHeight="1" s="215"/>
    <row r="481" ht="15.75" customHeight="1" s="215"/>
    <row r="482" ht="15.75" customHeight="1" s="215"/>
    <row r="483" ht="15.75" customHeight="1" s="215"/>
    <row r="484" ht="15.75" customHeight="1" s="215"/>
    <row r="485" ht="15.75" customHeight="1" s="215"/>
    <row r="486" ht="15.75" customHeight="1" s="215"/>
    <row r="487" ht="15.75" customHeight="1" s="215"/>
    <row r="488" ht="15.75" customHeight="1" s="215"/>
    <row r="489" ht="15.75" customHeight="1" s="215"/>
    <row r="490" ht="15.75" customHeight="1" s="215"/>
    <row r="491" ht="15.75" customHeight="1" s="215"/>
    <row r="492" ht="15.75" customHeight="1" s="215"/>
    <row r="493" ht="15.75" customHeight="1" s="215"/>
    <row r="494" ht="15.75" customHeight="1" s="215"/>
    <row r="495" ht="15.75" customHeight="1" s="215"/>
    <row r="496" ht="15.75" customHeight="1" s="215"/>
    <row r="497" ht="15.75" customHeight="1" s="215"/>
    <row r="498" ht="15.75" customHeight="1" s="215"/>
    <row r="499" ht="15.75" customHeight="1" s="215"/>
    <row r="500" ht="15.75" customHeight="1" s="215"/>
    <row r="501" ht="15.75" customHeight="1" s="215"/>
    <row r="502" ht="15.75" customHeight="1" s="215"/>
    <row r="503" ht="15.75" customHeight="1" s="215"/>
    <row r="504" ht="15.75" customHeight="1" s="215"/>
    <row r="505" ht="15.75" customHeight="1" s="215"/>
    <row r="506" ht="15.75" customHeight="1" s="215"/>
    <row r="507" ht="15.75" customHeight="1" s="215"/>
    <row r="508" ht="15.75" customHeight="1" s="215"/>
    <row r="509" ht="15.75" customHeight="1" s="215"/>
    <row r="510" ht="15.75" customHeight="1" s="215"/>
    <row r="511" ht="15.75" customHeight="1" s="215"/>
    <row r="512" ht="15.75" customHeight="1" s="215"/>
    <row r="513" ht="15.75" customHeight="1" s="215"/>
    <row r="514" ht="15.75" customHeight="1" s="215"/>
    <row r="515" ht="15.75" customHeight="1" s="215"/>
    <row r="516" ht="15.75" customHeight="1" s="215"/>
    <row r="517" ht="15.75" customHeight="1" s="215"/>
    <row r="518" ht="15.75" customHeight="1" s="215"/>
    <row r="519" ht="15.75" customHeight="1" s="215"/>
    <row r="520" ht="15.75" customHeight="1" s="215"/>
    <row r="521" ht="15.75" customHeight="1" s="215"/>
    <row r="522" ht="15.75" customHeight="1" s="215"/>
    <row r="523" ht="15.75" customHeight="1" s="215"/>
    <row r="524" ht="15.75" customHeight="1" s="215"/>
    <row r="525" ht="15.75" customHeight="1" s="215"/>
    <row r="526" ht="15.75" customHeight="1" s="215"/>
    <row r="527" ht="15.75" customHeight="1" s="215"/>
    <row r="528" ht="15.75" customHeight="1" s="215"/>
    <row r="529" ht="15.75" customHeight="1" s="215"/>
    <row r="530" ht="15.75" customHeight="1" s="215"/>
    <row r="531" ht="15.75" customHeight="1" s="215"/>
    <row r="532" ht="15.75" customHeight="1" s="215"/>
    <row r="533" ht="15.75" customHeight="1" s="215"/>
    <row r="534" ht="15.75" customHeight="1" s="215"/>
    <row r="535" ht="15.75" customHeight="1" s="215"/>
    <row r="536" ht="15.75" customHeight="1" s="215"/>
    <row r="537" ht="15.75" customHeight="1" s="215"/>
    <row r="538" ht="15.75" customHeight="1" s="215"/>
    <row r="539" ht="15.75" customHeight="1" s="215"/>
    <row r="540" ht="15.75" customHeight="1" s="215"/>
    <row r="541" ht="15.75" customHeight="1" s="215"/>
    <row r="542" ht="15.75" customHeight="1" s="215"/>
    <row r="543" ht="15.75" customHeight="1" s="215"/>
    <row r="544" ht="15.75" customHeight="1" s="215"/>
    <row r="545" ht="15.75" customHeight="1" s="215"/>
    <row r="546" ht="15.75" customHeight="1" s="215"/>
    <row r="547" ht="15.75" customHeight="1" s="215"/>
    <row r="548" ht="15.75" customHeight="1" s="215"/>
    <row r="549" ht="15.75" customHeight="1" s="215"/>
    <row r="550" ht="15.75" customHeight="1" s="215"/>
    <row r="551" ht="15.75" customHeight="1" s="215"/>
    <row r="552" ht="15.75" customHeight="1" s="215"/>
    <row r="553" ht="15.75" customHeight="1" s="215"/>
    <row r="554" ht="15.75" customHeight="1" s="215"/>
    <row r="555" ht="15.75" customHeight="1" s="215"/>
    <row r="556" ht="15.75" customHeight="1" s="215"/>
    <row r="557" ht="15.75" customHeight="1" s="215"/>
    <row r="558" ht="15.75" customHeight="1" s="215"/>
    <row r="559" ht="15.75" customHeight="1" s="215"/>
    <row r="560" ht="15.75" customHeight="1" s="215"/>
    <row r="561" ht="15.75" customHeight="1" s="215"/>
    <row r="562" ht="15.75" customHeight="1" s="215"/>
    <row r="563" ht="15.75" customHeight="1" s="215"/>
    <row r="564" ht="15.75" customHeight="1" s="215"/>
    <row r="565" ht="15.75" customHeight="1" s="215"/>
    <row r="566" ht="15.75" customHeight="1" s="215"/>
    <row r="567" ht="15.75" customHeight="1" s="215"/>
    <row r="568" ht="15.75" customHeight="1" s="215"/>
    <row r="569" ht="15.75" customHeight="1" s="215"/>
    <row r="570" ht="15.75" customHeight="1" s="215"/>
    <row r="571" ht="15.75" customHeight="1" s="215"/>
    <row r="572" ht="15.75" customHeight="1" s="215"/>
    <row r="573" ht="15.75" customHeight="1" s="215"/>
    <row r="574" ht="15.75" customHeight="1" s="215"/>
    <row r="575" ht="15.75" customHeight="1" s="215"/>
    <row r="576" ht="15.75" customHeight="1" s="215"/>
    <row r="577" ht="15.75" customHeight="1" s="215"/>
    <row r="578" ht="15.75" customHeight="1" s="215"/>
    <row r="579" ht="15.75" customHeight="1" s="215"/>
    <row r="580" ht="15.75" customHeight="1" s="215"/>
    <row r="581" ht="15.75" customHeight="1" s="215"/>
    <row r="582" ht="15.75" customHeight="1" s="215"/>
    <row r="583" ht="15.75" customHeight="1" s="215"/>
    <row r="584" ht="15.75" customHeight="1" s="215"/>
    <row r="585" ht="15.75" customHeight="1" s="215"/>
    <row r="586" ht="15.75" customHeight="1" s="215"/>
    <row r="587" ht="15.75" customHeight="1" s="215"/>
    <row r="588" ht="15.75" customHeight="1" s="215"/>
    <row r="589" ht="15.75" customHeight="1" s="215"/>
    <row r="590" ht="15.75" customHeight="1" s="215"/>
    <row r="591" ht="15.75" customHeight="1" s="215"/>
    <row r="592" ht="15.75" customHeight="1" s="215"/>
    <row r="593" ht="15.75" customHeight="1" s="215"/>
    <row r="594" ht="15.75" customHeight="1" s="215"/>
    <row r="595" ht="15.75" customHeight="1" s="215"/>
    <row r="596" ht="15.75" customHeight="1" s="215"/>
    <row r="597" ht="15.75" customHeight="1" s="215"/>
    <row r="598" ht="15.75" customHeight="1" s="215"/>
    <row r="599" ht="15.75" customHeight="1" s="215"/>
    <row r="600" ht="15.75" customHeight="1" s="215"/>
    <row r="601" ht="15.75" customHeight="1" s="215"/>
    <row r="602" ht="15.75" customHeight="1" s="215"/>
    <row r="603" ht="15.75" customHeight="1" s="215"/>
    <row r="604" ht="15.75" customHeight="1" s="215"/>
    <row r="605" ht="15.75" customHeight="1" s="215"/>
    <row r="606" ht="15.75" customHeight="1" s="215"/>
    <row r="607" ht="15.75" customHeight="1" s="215"/>
    <row r="608" ht="15.75" customHeight="1" s="215"/>
    <row r="609" ht="15.75" customHeight="1" s="215"/>
    <row r="610" ht="15.75" customHeight="1" s="215"/>
    <row r="611" ht="15.75" customHeight="1" s="215"/>
    <row r="612" ht="15.75" customHeight="1" s="215"/>
    <row r="613" ht="15.75" customHeight="1" s="215"/>
    <row r="614" ht="15.75" customHeight="1" s="215"/>
    <row r="615" ht="15.75" customHeight="1" s="215"/>
    <row r="616" ht="15.75" customHeight="1" s="215"/>
    <row r="617" ht="15.75" customHeight="1" s="215"/>
    <row r="618" ht="15.75" customHeight="1" s="215"/>
    <row r="619" ht="15.75" customHeight="1" s="215"/>
    <row r="620" ht="15.75" customHeight="1" s="215"/>
    <row r="621" ht="15.75" customHeight="1" s="215"/>
    <row r="622" ht="15.75" customHeight="1" s="215"/>
    <row r="623" ht="15.75" customHeight="1" s="215"/>
    <row r="624" ht="15.75" customHeight="1" s="215"/>
    <row r="625" ht="15.75" customHeight="1" s="215"/>
    <row r="626" ht="15.75" customHeight="1" s="215"/>
    <row r="627" ht="15.75" customHeight="1" s="215"/>
    <row r="628" ht="15.75" customHeight="1" s="215"/>
    <row r="629" ht="15.75" customHeight="1" s="215"/>
    <row r="630" ht="15.75" customHeight="1" s="215"/>
    <row r="631" ht="15.75" customHeight="1" s="215"/>
    <row r="632" ht="15.75" customHeight="1" s="215"/>
    <row r="633" ht="15.75" customHeight="1" s="215"/>
    <row r="634" ht="15.75" customHeight="1" s="215"/>
    <row r="635" ht="15.75" customHeight="1" s="215"/>
    <row r="636" ht="15.75" customHeight="1" s="215"/>
    <row r="637" ht="15.75" customHeight="1" s="215"/>
    <row r="638" ht="15.75" customHeight="1" s="215"/>
    <row r="639" ht="15.75" customHeight="1" s="215"/>
    <row r="640" ht="15.75" customHeight="1" s="215"/>
    <row r="641" ht="15.75" customHeight="1" s="215"/>
    <row r="642" ht="15.75" customHeight="1" s="215"/>
    <row r="643" ht="15.75" customHeight="1" s="215"/>
    <row r="644" ht="15.75" customHeight="1" s="215"/>
    <row r="645" ht="15.75" customHeight="1" s="215"/>
    <row r="646" ht="15.75" customHeight="1" s="215"/>
    <row r="647" ht="15.75" customHeight="1" s="215"/>
    <row r="648" ht="15.75" customHeight="1" s="215"/>
    <row r="649" ht="15.75" customHeight="1" s="215"/>
    <row r="650" ht="15.75" customHeight="1" s="215"/>
    <row r="651" ht="15.75" customHeight="1" s="215"/>
    <row r="652" ht="15.75" customHeight="1" s="215"/>
    <row r="653" ht="15.75" customHeight="1" s="215"/>
    <row r="654" ht="15.75" customHeight="1" s="215"/>
    <row r="655" ht="15.75" customHeight="1" s="215"/>
    <row r="656" ht="15.75" customHeight="1" s="215"/>
    <row r="657" ht="15.75" customHeight="1" s="215"/>
    <row r="658" ht="15.75" customHeight="1" s="215"/>
    <row r="659" ht="15.75" customHeight="1" s="215"/>
    <row r="660" ht="15.75" customHeight="1" s="215"/>
    <row r="661" ht="15.75" customHeight="1" s="215"/>
    <row r="662" ht="15.75" customHeight="1" s="215"/>
    <row r="663" ht="15.75" customHeight="1" s="215"/>
    <row r="664" ht="15.75" customHeight="1" s="215"/>
    <row r="665" ht="15.75" customHeight="1" s="215"/>
    <row r="666" ht="15.75" customHeight="1" s="215"/>
    <row r="667" ht="15.75" customHeight="1" s="215"/>
    <row r="668" ht="15.75" customHeight="1" s="215"/>
    <row r="669" ht="15.75" customHeight="1" s="215"/>
    <row r="670" ht="15.75" customHeight="1" s="215"/>
    <row r="671" ht="15.75" customHeight="1" s="215"/>
    <row r="672" ht="15.75" customHeight="1" s="215"/>
    <row r="673" ht="15.75" customHeight="1" s="215"/>
    <row r="674" ht="15.75" customHeight="1" s="215"/>
    <row r="675" ht="15.75" customHeight="1" s="215"/>
    <row r="676" ht="15.75" customHeight="1" s="215"/>
    <row r="677" ht="15.75" customHeight="1" s="215"/>
    <row r="678" ht="15.75" customHeight="1" s="215"/>
    <row r="679" ht="15.75" customHeight="1" s="215"/>
    <row r="680" ht="15.75" customHeight="1" s="215"/>
    <row r="681" ht="15.75" customHeight="1" s="215"/>
    <row r="682" ht="15.75" customHeight="1" s="215"/>
    <row r="683" ht="15.75" customHeight="1" s="215"/>
    <row r="684" ht="15.75" customHeight="1" s="215"/>
    <row r="685" ht="15.75" customHeight="1" s="215"/>
    <row r="686" ht="15.75" customHeight="1" s="215"/>
    <row r="687" ht="15.75" customHeight="1" s="215"/>
    <row r="688" ht="15.75" customHeight="1" s="215"/>
    <row r="689" ht="15.75" customHeight="1" s="215"/>
    <row r="690" ht="15.75" customHeight="1" s="215"/>
    <row r="691" ht="15.75" customHeight="1" s="215"/>
    <row r="692" ht="15.75" customHeight="1" s="215"/>
    <row r="693" ht="15.75" customHeight="1" s="215"/>
    <row r="694" ht="15.75" customHeight="1" s="215"/>
    <row r="695" ht="15.75" customHeight="1" s="215"/>
    <row r="696" ht="15.75" customHeight="1" s="215"/>
    <row r="697" ht="15.75" customHeight="1" s="215"/>
    <row r="698" ht="15.75" customHeight="1" s="215"/>
    <row r="699" ht="15.75" customHeight="1" s="215"/>
    <row r="700" ht="15.75" customHeight="1" s="215"/>
    <row r="701" ht="15.75" customHeight="1" s="215"/>
    <row r="702" ht="15.75" customHeight="1" s="215"/>
    <row r="703" ht="15.75" customHeight="1" s="215"/>
    <row r="704" ht="15.75" customHeight="1" s="215"/>
    <row r="705" ht="15.75" customHeight="1" s="215"/>
    <row r="706" ht="15.75" customHeight="1" s="215"/>
    <row r="707" ht="15.75" customHeight="1" s="215"/>
    <row r="708" ht="15.75" customHeight="1" s="215"/>
    <row r="709" ht="15.75" customHeight="1" s="215"/>
    <row r="710" ht="15.75" customHeight="1" s="215"/>
    <row r="711" ht="15.75" customHeight="1" s="215"/>
    <row r="712" ht="15.75" customHeight="1" s="215"/>
    <row r="713" ht="15.75" customHeight="1" s="215"/>
    <row r="714" ht="15.75" customHeight="1" s="215"/>
    <row r="715" ht="15.75" customHeight="1" s="215"/>
    <row r="716" ht="15.75" customHeight="1" s="215"/>
    <row r="717" ht="15.75" customHeight="1" s="215"/>
    <row r="718" ht="15.75" customHeight="1" s="215"/>
    <row r="719" ht="15.75" customHeight="1" s="215"/>
    <row r="720" ht="15.75" customHeight="1" s="215"/>
    <row r="721" ht="15.75" customHeight="1" s="215"/>
    <row r="722" ht="15.75" customHeight="1" s="215"/>
    <row r="723" ht="15.75" customHeight="1" s="215"/>
    <row r="724" ht="15.75" customHeight="1" s="215"/>
    <row r="725" ht="15.75" customHeight="1" s="215"/>
    <row r="726" ht="15.75" customHeight="1" s="215"/>
    <row r="727" ht="15.75" customHeight="1" s="215"/>
    <row r="728" ht="15.75" customHeight="1" s="215"/>
    <row r="729" ht="15.75" customHeight="1" s="215"/>
    <row r="730" ht="15.75" customHeight="1" s="215"/>
    <row r="731" ht="15.75" customHeight="1" s="215"/>
    <row r="732" ht="15.75" customHeight="1" s="215"/>
    <row r="733" ht="15.75" customHeight="1" s="215"/>
    <row r="734" ht="15.75" customHeight="1" s="215"/>
    <row r="735" ht="15.75" customHeight="1" s="215"/>
    <row r="736" ht="15.75" customHeight="1" s="215"/>
    <row r="737" ht="15.75" customHeight="1" s="215"/>
    <row r="738" ht="15.75" customHeight="1" s="215"/>
    <row r="739" ht="15.75" customHeight="1" s="215"/>
    <row r="740" ht="15.75" customHeight="1" s="215"/>
    <row r="741" ht="15.75" customHeight="1" s="215"/>
    <row r="742" ht="15.75" customHeight="1" s="215"/>
    <row r="743" ht="15.75" customHeight="1" s="215"/>
    <row r="744" ht="15.75" customHeight="1" s="215"/>
    <row r="745" ht="15.75" customHeight="1" s="215"/>
    <row r="746" ht="15.75" customHeight="1" s="215"/>
    <row r="747" ht="15.75" customHeight="1" s="215"/>
    <row r="748" ht="15.75" customHeight="1" s="215"/>
    <row r="749" ht="15.75" customHeight="1" s="215"/>
    <row r="750" ht="15.75" customHeight="1" s="215"/>
    <row r="751" ht="15.75" customHeight="1" s="215"/>
    <row r="752" ht="15.75" customHeight="1" s="215"/>
    <row r="753" ht="15.75" customHeight="1" s="215"/>
    <row r="754" ht="15.75" customHeight="1" s="215"/>
    <row r="755" ht="15.75" customHeight="1" s="215"/>
    <row r="756" ht="15.75" customHeight="1" s="215"/>
    <row r="757" ht="15.75" customHeight="1" s="215"/>
    <row r="758" ht="15.75" customHeight="1" s="215"/>
    <row r="759" ht="15.75" customHeight="1" s="215"/>
    <row r="760" ht="15.75" customHeight="1" s="215"/>
    <row r="761" ht="15.75" customHeight="1" s="215"/>
    <row r="762" ht="15.75" customHeight="1" s="215"/>
    <row r="763" ht="15.75" customHeight="1" s="215"/>
    <row r="764" ht="15.75" customHeight="1" s="215"/>
    <row r="765" ht="15.75" customHeight="1" s="215"/>
    <row r="766" ht="15.75" customHeight="1" s="215"/>
    <row r="767" ht="15.75" customHeight="1" s="215"/>
    <row r="768" ht="15.75" customHeight="1" s="215"/>
    <row r="769" ht="15.75" customHeight="1" s="215"/>
    <row r="770" ht="15.75" customHeight="1" s="215"/>
    <row r="771" ht="15.75" customHeight="1" s="215"/>
    <row r="772" ht="15.75" customHeight="1" s="215"/>
    <row r="773" ht="15.75" customHeight="1" s="215"/>
    <row r="774" ht="15.75" customHeight="1" s="215"/>
    <row r="775" ht="15.75" customHeight="1" s="215"/>
    <row r="776" ht="15.75" customHeight="1" s="215"/>
    <row r="777" ht="15.75" customHeight="1" s="215"/>
    <row r="778" ht="15.75" customHeight="1" s="215"/>
    <row r="779" ht="15.75" customHeight="1" s="215"/>
    <row r="780" ht="15.75" customHeight="1" s="215"/>
    <row r="781" ht="15.75" customHeight="1" s="215"/>
    <row r="782" ht="15.75" customHeight="1" s="215"/>
    <row r="783" ht="15.75" customHeight="1" s="215"/>
    <row r="784" ht="15.75" customHeight="1" s="215"/>
    <row r="785" ht="15.75" customHeight="1" s="215"/>
    <row r="786" ht="15.75" customHeight="1" s="215"/>
    <row r="787" ht="15.75" customHeight="1" s="215"/>
    <row r="788" ht="15.75" customHeight="1" s="215"/>
    <row r="789" ht="15.75" customHeight="1" s="215"/>
    <row r="790" ht="15.75" customHeight="1" s="215"/>
    <row r="791" ht="15.75" customHeight="1" s="215"/>
    <row r="792" ht="15.75" customHeight="1" s="215"/>
    <row r="793" ht="15.75" customHeight="1" s="215"/>
    <row r="794" ht="15.75" customHeight="1" s="215"/>
    <row r="795" ht="15.75" customHeight="1" s="215"/>
    <row r="796" ht="15.75" customHeight="1" s="215"/>
    <row r="797" ht="15.75" customHeight="1" s="215"/>
    <row r="798" ht="15.75" customHeight="1" s="215"/>
    <row r="799" ht="15.75" customHeight="1" s="215"/>
    <row r="800" ht="15.75" customHeight="1" s="215"/>
    <row r="801" ht="15.75" customHeight="1" s="215"/>
    <row r="802" ht="15.75" customHeight="1" s="215"/>
    <row r="803" ht="15.75" customHeight="1" s="215"/>
    <row r="804" ht="15.75" customHeight="1" s="215"/>
    <row r="805" ht="15.75" customHeight="1" s="215"/>
    <row r="806" ht="15.75" customHeight="1" s="215"/>
    <row r="807" ht="15.75" customHeight="1" s="215"/>
    <row r="808" ht="15.75" customHeight="1" s="215"/>
    <row r="809" ht="15.75" customHeight="1" s="215"/>
    <row r="810" ht="15.75" customHeight="1" s="215"/>
    <row r="811" ht="15.75" customHeight="1" s="215"/>
    <row r="812" ht="15.75" customHeight="1" s="215"/>
    <row r="813" ht="15.75" customHeight="1" s="215"/>
    <row r="814" ht="15.75" customHeight="1" s="215"/>
    <row r="815" ht="15.75" customHeight="1" s="215"/>
    <row r="816" ht="15.75" customHeight="1" s="215"/>
    <row r="817" ht="15.75" customHeight="1" s="215"/>
    <row r="818" ht="15.75" customHeight="1" s="215"/>
    <row r="819" ht="15.75" customHeight="1" s="215"/>
    <row r="820" ht="15.75" customHeight="1" s="215"/>
    <row r="821" ht="15.75" customHeight="1" s="215"/>
    <row r="822" ht="15.75" customHeight="1" s="215"/>
    <row r="823" ht="15.75" customHeight="1" s="215"/>
    <row r="824" ht="15.75" customHeight="1" s="215"/>
    <row r="825" ht="15.75" customHeight="1" s="215"/>
    <row r="826" ht="15.75" customHeight="1" s="215"/>
    <row r="827" ht="15.75" customHeight="1" s="215"/>
    <row r="828" ht="15.75" customHeight="1" s="215"/>
    <row r="829" ht="15.75" customHeight="1" s="215"/>
    <row r="830" ht="15.75" customHeight="1" s="215"/>
    <row r="831" ht="15.75" customHeight="1" s="215"/>
    <row r="832" ht="15.75" customHeight="1" s="215"/>
    <row r="833" ht="15.75" customHeight="1" s="215"/>
    <row r="834" ht="15.75" customHeight="1" s="215"/>
    <row r="835" ht="15.75" customHeight="1" s="215"/>
    <row r="836" ht="15.75" customHeight="1" s="215"/>
    <row r="837" ht="15.75" customHeight="1" s="215"/>
    <row r="838" ht="15.75" customHeight="1" s="215"/>
    <row r="839" ht="15.75" customHeight="1" s="215"/>
    <row r="840" ht="15.75" customHeight="1" s="215"/>
    <row r="841" ht="15.75" customHeight="1" s="215"/>
    <row r="842" ht="15.75" customHeight="1" s="215"/>
    <row r="843" ht="15.75" customHeight="1" s="215"/>
    <row r="844" ht="15.75" customHeight="1" s="215"/>
    <row r="845" ht="15.75" customHeight="1" s="215"/>
    <row r="846" ht="15.75" customHeight="1" s="215"/>
    <row r="847" ht="15.75" customHeight="1" s="215"/>
    <row r="848" ht="15.75" customHeight="1" s="215"/>
    <row r="849" ht="15.75" customHeight="1" s="215"/>
    <row r="850" ht="15.75" customHeight="1" s="215"/>
    <row r="851" ht="15.75" customHeight="1" s="215"/>
    <row r="852" ht="15.75" customHeight="1" s="215"/>
    <row r="853" ht="15.75" customHeight="1" s="215"/>
    <row r="854" ht="15.75" customHeight="1" s="215"/>
    <row r="855" ht="15.75" customHeight="1" s="215"/>
    <row r="856" ht="15.75" customHeight="1" s="215"/>
    <row r="857" ht="15.75" customHeight="1" s="215"/>
    <row r="858" ht="15.75" customHeight="1" s="215"/>
    <row r="859" ht="15.75" customHeight="1" s="215"/>
    <row r="860" ht="15.75" customHeight="1" s="215"/>
    <row r="861" ht="15.75" customHeight="1" s="215"/>
    <row r="862" ht="15.75" customHeight="1" s="215"/>
    <row r="863" ht="15.75" customHeight="1" s="215"/>
    <row r="864" ht="15.75" customHeight="1" s="215"/>
    <row r="865" ht="15.75" customHeight="1" s="215"/>
    <row r="866" ht="15.75" customHeight="1" s="215"/>
    <row r="867" ht="15.75" customHeight="1" s="215"/>
    <row r="868" ht="15.75" customHeight="1" s="215"/>
    <row r="869" ht="15.75" customHeight="1" s="215"/>
    <row r="870" ht="15.75" customHeight="1" s="215"/>
    <row r="871" ht="15.75" customHeight="1" s="215"/>
    <row r="872" ht="15.75" customHeight="1" s="215"/>
    <row r="873" ht="15.75" customHeight="1" s="215"/>
    <row r="874" ht="15.75" customHeight="1" s="215"/>
    <row r="875" ht="15.75" customHeight="1" s="215"/>
    <row r="876" ht="15.75" customHeight="1" s="215"/>
    <row r="877" ht="15.75" customHeight="1" s="215"/>
    <row r="878" ht="15.75" customHeight="1" s="215"/>
    <row r="879" ht="15.75" customHeight="1" s="215"/>
    <row r="880" ht="15.75" customHeight="1" s="215"/>
    <row r="881" ht="15.75" customHeight="1" s="215"/>
    <row r="882" ht="15.75" customHeight="1" s="215"/>
    <row r="883" ht="15.75" customHeight="1" s="215"/>
    <row r="884" ht="15.75" customHeight="1" s="215"/>
    <row r="885" ht="15.75" customHeight="1" s="215"/>
    <row r="886" ht="15.75" customHeight="1" s="215"/>
    <row r="887" ht="15.75" customHeight="1" s="215"/>
    <row r="888" ht="15.75" customHeight="1" s="215"/>
    <row r="889" ht="15.75" customHeight="1" s="215"/>
    <row r="890" ht="15.75" customHeight="1" s="215"/>
    <row r="891" ht="15.75" customHeight="1" s="215"/>
    <row r="892" ht="15.75" customHeight="1" s="215"/>
    <row r="893" ht="15.75" customHeight="1" s="215"/>
    <row r="894" ht="15.75" customHeight="1" s="215"/>
    <row r="895" ht="15.75" customHeight="1" s="215"/>
    <row r="896" ht="15.75" customHeight="1" s="215"/>
    <row r="897" ht="15.75" customHeight="1" s="215"/>
    <row r="898" ht="15.75" customHeight="1" s="215"/>
    <row r="899" ht="15.75" customHeight="1" s="215"/>
    <row r="900" ht="15.75" customHeight="1" s="215"/>
    <row r="901" ht="15.75" customHeight="1" s="215"/>
    <row r="902" ht="15.75" customHeight="1" s="215"/>
    <row r="903" ht="15.75" customHeight="1" s="215"/>
    <row r="904" ht="15.75" customHeight="1" s="215"/>
    <row r="905" ht="15.75" customHeight="1" s="215"/>
    <row r="906" ht="15.75" customHeight="1" s="215"/>
    <row r="907" ht="15.75" customHeight="1" s="215"/>
    <row r="908" ht="15.75" customHeight="1" s="215"/>
    <row r="909" ht="15.75" customHeight="1" s="215"/>
    <row r="910" ht="15.75" customHeight="1" s="215"/>
    <row r="911" ht="15.75" customHeight="1" s="215"/>
    <row r="912" ht="15.75" customHeight="1" s="215"/>
    <row r="913" ht="15.75" customHeight="1" s="215"/>
    <row r="914" ht="15.75" customHeight="1" s="215"/>
    <row r="915" ht="15.75" customHeight="1" s="215"/>
    <row r="916" ht="15.75" customHeight="1" s="215"/>
    <row r="917" ht="15.75" customHeight="1" s="215"/>
    <row r="918" ht="15.75" customHeight="1" s="215"/>
    <row r="919" ht="15.75" customHeight="1" s="215"/>
    <row r="920" ht="15.75" customHeight="1" s="215"/>
    <row r="921" ht="15.75" customHeight="1" s="215"/>
    <row r="922" ht="15.75" customHeight="1" s="215"/>
    <row r="923" ht="15.75" customHeight="1" s="215"/>
    <row r="924" ht="15.75" customHeight="1" s="215"/>
    <row r="925" ht="15.75" customHeight="1" s="215"/>
    <row r="926" ht="15.75" customHeight="1" s="215"/>
    <row r="927" ht="15.75" customHeight="1" s="215"/>
    <row r="928" ht="15.75" customHeight="1" s="215"/>
    <row r="929" ht="15.75" customHeight="1" s="215"/>
    <row r="930" ht="15.75" customHeight="1" s="215"/>
    <row r="931" ht="15.75" customHeight="1" s="215"/>
    <row r="932" ht="15.75" customHeight="1" s="215"/>
    <row r="933" ht="15.75" customHeight="1" s="215"/>
    <row r="934" ht="15.75" customHeight="1" s="215"/>
    <row r="935" ht="15.75" customHeight="1" s="215"/>
    <row r="936" ht="15.75" customHeight="1" s="215"/>
    <row r="937" ht="15.75" customHeight="1" s="215"/>
    <row r="938" ht="15.75" customHeight="1" s="215"/>
    <row r="939" ht="15.75" customHeight="1" s="215"/>
    <row r="940" ht="15.75" customHeight="1" s="215"/>
    <row r="941" ht="15.75" customHeight="1" s="215"/>
    <row r="942" ht="15.75" customHeight="1" s="215"/>
    <row r="943" ht="15.75" customHeight="1" s="215"/>
    <row r="944" ht="15.75" customHeight="1" s="215"/>
    <row r="945" ht="15.75" customHeight="1" s="215"/>
    <row r="946" ht="15.75" customHeight="1" s="215"/>
    <row r="947" ht="15.75" customHeight="1" s="215"/>
    <row r="948" ht="15.75" customHeight="1" s="215"/>
    <row r="949" ht="15.75" customHeight="1" s="215"/>
    <row r="950" ht="15.75" customHeight="1" s="215"/>
    <row r="951" ht="15.75" customHeight="1" s="215"/>
    <row r="952" ht="15.75" customHeight="1" s="215"/>
    <row r="953" ht="15.75" customHeight="1" s="215"/>
    <row r="954" ht="15.75" customHeight="1" s="215"/>
    <row r="955" ht="15.75" customHeight="1" s="215"/>
    <row r="956" ht="15.75" customHeight="1" s="215"/>
    <row r="957" ht="15.75" customHeight="1" s="215"/>
    <row r="958" ht="15.75" customHeight="1" s="215"/>
    <row r="959" ht="15.75" customHeight="1" s="215"/>
    <row r="960" ht="15.75" customHeight="1" s="215"/>
    <row r="961" ht="15.75" customHeight="1" s="215"/>
    <row r="962" ht="15.75" customHeight="1" s="215"/>
    <row r="963" ht="15.75" customHeight="1" s="215"/>
    <row r="964" ht="15.75" customHeight="1" s="215"/>
    <row r="965" ht="15.75" customHeight="1" s="215"/>
    <row r="966" ht="15.75" customHeight="1" s="215"/>
    <row r="967" ht="15.75" customHeight="1" s="215"/>
    <row r="968" ht="15.75" customHeight="1" s="215"/>
    <row r="969" ht="15.75" customHeight="1" s="215"/>
    <row r="970" ht="15.75" customHeight="1" s="215"/>
    <row r="971" ht="15.75" customHeight="1" s="215"/>
    <row r="972" ht="15.75" customHeight="1" s="215"/>
    <row r="973" ht="15.75" customHeight="1" s="215"/>
    <row r="974" ht="15.75" customHeight="1" s="215"/>
    <row r="975" ht="15.75" customHeight="1" s="215"/>
    <row r="976" ht="15.75" customHeight="1" s="215"/>
    <row r="977" ht="15.75" customHeight="1" s="215"/>
    <row r="978" ht="15.75" customHeight="1" s="215"/>
    <row r="979" ht="15.75" customHeight="1" s="215"/>
    <row r="980" ht="15.75" customHeight="1" s="215"/>
    <row r="981" ht="15.75" customHeight="1" s="215"/>
    <row r="982" ht="15.75" customHeight="1" s="215"/>
    <row r="983" ht="15.75" customHeight="1" s="215"/>
    <row r="984" ht="15.75" customHeight="1" s="215"/>
    <row r="985" ht="15.75" customHeight="1" s="215"/>
    <row r="986" ht="15.75" customHeight="1" s="215"/>
    <row r="987" ht="15.75" customHeight="1" s="215"/>
    <row r="988" ht="15.75" customHeight="1" s="215"/>
    <row r="989" ht="15.75" customHeight="1" s="215"/>
    <row r="990" ht="15.75" customHeight="1" s="215"/>
    <row r="991" ht="15.75" customHeight="1" s="215"/>
    <row r="992" ht="15.75" customHeight="1" s="215"/>
    <row r="993" ht="15.75" customHeight="1" s="215"/>
    <row r="994" ht="15.75" customHeight="1" s="215"/>
    <row r="995" ht="15.75" customHeight="1" s="215"/>
    <row r="996" ht="15.75" customHeight="1" s="215"/>
    <row r="997" ht="15.75" customHeight="1" s="215"/>
    <row r="998" ht="15.75" customHeight="1" s="215"/>
    <row r="999" ht="15.75" customHeight="1" s="215"/>
    <row r="1000" ht="15.75" customHeight="1" s="215"/>
  </sheetData>
  <mergeCells count="132">
    <mergeCell ref="D21:L21"/>
    <mergeCell ref="H35:I35"/>
    <mergeCell ref="D13:L13"/>
    <mergeCell ref="B22:C22"/>
    <mergeCell ref="B31:C31"/>
    <mergeCell ref="D36:E36"/>
    <mergeCell ref="D31:E31"/>
    <mergeCell ref="D45:E45"/>
    <mergeCell ref="B12:C12"/>
    <mergeCell ref="D7:L7"/>
    <mergeCell ref="H39:I39"/>
    <mergeCell ref="B21:C21"/>
    <mergeCell ref="P6:Q6"/>
    <mergeCell ref="N6:O7"/>
    <mergeCell ref="B14:C14"/>
    <mergeCell ref="J45:K45"/>
    <mergeCell ref="B13:C13"/>
    <mergeCell ref="D24:L24"/>
    <mergeCell ref="B38:C38"/>
    <mergeCell ref="H45:I45"/>
    <mergeCell ref="D26:L26"/>
    <mergeCell ref="H37:I37"/>
    <mergeCell ref="J31:K31"/>
    <mergeCell ref="B40:C40"/>
    <mergeCell ref="D10:L10"/>
    <mergeCell ref="F43:G43"/>
    <mergeCell ref="B24:C24"/>
    <mergeCell ref="D19:L19"/>
    <mergeCell ref="B33:C33"/>
    <mergeCell ref="D33:E33"/>
    <mergeCell ref="B32:C32"/>
    <mergeCell ref="B26:C26"/>
    <mergeCell ref="B41:C41"/>
    <mergeCell ref="B35:C35"/>
    <mergeCell ref="D35:E35"/>
    <mergeCell ref="B16:C16"/>
    <mergeCell ref="D11:L11"/>
    <mergeCell ref="B25:C25"/>
    <mergeCell ref="D34:E34"/>
    <mergeCell ref="F34:G34"/>
    <mergeCell ref="H41:I41"/>
    <mergeCell ref="B18:C18"/>
    <mergeCell ref="B27:C27"/>
    <mergeCell ref="H34:I34"/>
    <mergeCell ref="J34:K34"/>
    <mergeCell ref="B11:C11"/>
    <mergeCell ref="F33:G33"/>
    <mergeCell ref="F45:G45"/>
    <mergeCell ref="D9:L9"/>
    <mergeCell ref="F42:G42"/>
    <mergeCell ref="H36:I36"/>
    <mergeCell ref="J36:K36"/>
    <mergeCell ref="D15:L15"/>
    <mergeCell ref="D23:L23"/>
    <mergeCell ref="B37:C37"/>
    <mergeCell ref="D37:E37"/>
    <mergeCell ref="F31:G31"/>
    <mergeCell ref="F46:G46"/>
    <mergeCell ref="D39:E39"/>
    <mergeCell ref="B6:C6"/>
    <mergeCell ref="F39:G39"/>
    <mergeCell ref="B15:C15"/>
    <mergeCell ref="J46:K46"/>
    <mergeCell ref="D38:E38"/>
    <mergeCell ref="B7:C7"/>
    <mergeCell ref="D27:L27"/>
    <mergeCell ref="H38:I38"/>
    <mergeCell ref="J38:K38"/>
    <mergeCell ref="H43:I43"/>
    <mergeCell ref="D17:L17"/>
    <mergeCell ref="H31:I31"/>
    <mergeCell ref="H40:I40"/>
    <mergeCell ref="J40:K40"/>
    <mergeCell ref="B43:C43"/>
    <mergeCell ref="D28:L28"/>
    <mergeCell ref="B42:C42"/>
    <mergeCell ref="F36:G36"/>
    <mergeCell ref="B17:C17"/>
    <mergeCell ref="D12:L12"/>
    <mergeCell ref="D25:L25"/>
    <mergeCell ref="J35:K35"/>
    <mergeCell ref="B44:C44"/>
    <mergeCell ref="D5:L5"/>
    <mergeCell ref="B19:C19"/>
    <mergeCell ref="D14:L14"/>
    <mergeCell ref="B34:C34"/>
    <mergeCell ref="B28:C28"/>
    <mergeCell ref="D6:L6"/>
    <mergeCell ref="B9:C9"/>
    <mergeCell ref="N9:O9"/>
    <mergeCell ref="B5:C5"/>
    <mergeCell ref="B20:C20"/>
    <mergeCell ref="H42:I42"/>
    <mergeCell ref="J42:K42"/>
    <mergeCell ref="B45:C45"/>
    <mergeCell ref="J39:K39"/>
    <mergeCell ref="J44:K44"/>
    <mergeCell ref="B46:C46"/>
    <mergeCell ref="J37:K37"/>
    <mergeCell ref="D46:E46"/>
    <mergeCell ref="D40:E40"/>
    <mergeCell ref="H44:I44"/>
    <mergeCell ref="F40:G40"/>
    <mergeCell ref="D16:L16"/>
    <mergeCell ref="B39:C39"/>
    <mergeCell ref="H46:I46"/>
    <mergeCell ref="B23:C23"/>
    <mergeCell ref="D18:L18"/>
    <mergeCell ref="D32:E32"/>
    <mergeCell ref="F32:G32"/>
    <mergeCell ref="D41:E41"/>
    <mergeCell ref="D8:L8"/>
    <mergeCell ref="B8:C8"/>
    <mergeCell ref="F41:G41"/>
    <mergeCell ref="F35:G35"/>
    <mergeCell ref="P7:Q7"/>
    <mergeCell ref="F38:G38"/>
    <mergeCell ref="H32:I32"/>
    <mergeCell ref="D43:E43"/>
    <mergeCell ref="J32:K32"/>
    <mergeCell ref="B10:C10"/>
    <mergeCell ref="J41:K41"/>
    <mergeCell ref="D20:L20"/>
    <mergeCell ref="F37:G37"/>
    <mergeCell ref="J43:K43"/>
    <mergeCell ref="D42:E42"/>
    <mergeCell ref="D22:L22"/>
    <mergeCell ref="H33:I33"/>
    <mergeCell ref="B36:C36"/>
    <mergeCell ref="J33:K33"/>
    <mergeCell ref="D44:E44"/>
    <mergeCell ref="F44:G44"/>
  </mergeCells>
  <pageMargins left="0.7" right="0.7" top="0.75" bottom="0.75" header="0" footer="0"/>
  <pageSetup orientation="landscape"/>
</worksheet>
</file>

<file path=xl/worksheets/sheet2.xml><?xml version="1.0" encoding="utf-8"?>
<worksheet xmlns="http://schemas.openxmlformats.org/spreadsheetml/2006/main">
  <sheetPr>
    <tabColor rgb="FF385623"/>
    <outlinePr summaryBelow="1" summaryRight="1"/>
    <pageSetUpPr/>
  </sheetPr>
  <dimension ref="A2:R110"/>
  <sheetViews>
    <sheetView workbookViewId="0">
      <selection activeCell="A1" sqref="A1"/>
    </sheetView>
  </sheetViews>
  <sheetFormatPr baseColWidth="8" defaultColWidth="12.63" defaultRowHeight="15" customHeight="1"/>
  <cols>
    <col width="2.5" customWidth="1" style="215" min="1" max="1"/>
    <col width="6.75" customWidth="1" style="215" min="2" max="2"/>
    <col width="101.13" customWidth="1" style="215" min="3" max="3"/>
    <col width="3.75" customWidth="1" style="215" min="4" max="4"/>
    <col width="6.25" customWidth="1" style="215" min="5" max="7"/>
    <col width="75" customWidth="1" style="215" min="8" max="8"/>
    <col width="10" customWidth="1" style="215" min="9" max="9"/>
    <col width="25" customWidth="1" style="215" min="10" max="10"/>
    <col width="7.63" customWidth="1" style="215" min="11" max="11"/>
    <col width="10" customWidth="1" style="215" min="12" max="26"/>
  </cols>
  <sheetData>
    <row r="2" ht="21.75" customHeight="1" s="215">
      <c r="B2" s="31" t="inlineStr">
        <is>
          <t>LISTADO DE REQUERIMIENTOS DEL SISTEMA IMPLEMENTACION DEL SOFTWARE DE RESERVAS PARA EVENTOS DE RESTAURANTES EN BUCARAMANGA (RESERVIFY)</t>
        </is>
      </c>
    </row>
    <row r="3" ht="15" customHeight="1" s="215">
      <c r="B3" s="32" t="n"/>
      <c r="C3" s="32" t="n"/>
    </row>
    <row r="4" ht="15.75" customHeight="1" s="215">
      <c r="B4" s="33" t="inlineStr">
        <is>
          <t>SI</t>
        </is>
      </c>
      <c r="C4" s="34" t="inlineStr">
        <is>
          <t>Marque con una equis (X) si el sistema cumple con la función descrita</t>
        </is>
      </c>
    </row>
    <row r="5" ht="15.75" customHeight="1" s="215">
      <c r="B5" s="33" t="inlineStr">
        <is>
          <t>NO</t>
        </is>
      </c>
      <c r="C5" s="34" t="inlineStr">
        <is>
          <t>Marque con una equis (X) si el sistema no cumple con la función descrita</t>
        </is>
      </c>
    </row>
    <row r="6" ht="15.75" customHeight="1" s="215">
      <c r="B6" s="33" t="inlineStr">
        <is>
          <t>ADI</t>
        </is>
      </c>
      <c r="C6" s="34" t="inlineStr">
        <is>
          <t>Marque con una equis (X) si el sistema debe adicionar la función descrita</t>
        </is>
      </c>
    </row>
    <row r="7" ht="15.75" customHeight="1" s="215">
      <c r="B7" s="35" t="inlineStr">
        <is>
          <t>Observaciones:Espacio para complementar respuestas</t>
        </is>
      </c>
      <c r="R7" s="36" t="inlineStr">
        <is>
          <t>=contara('REQ. No funcionales'!E12:E61,</t>
        </is>
      </c>
    </row>
    <row r="8" ht="15.75" customHeight="1" s="215">
      <c r="B8" s="35" t="n"/>
      <c r="C8" s="35" t="n"/>
    </row>
    <row r="9" ht="15" customHeight="1" s="215">
      <c r="E9" s="44" t="inlineStr">
        <is>
          <t>Nivel de cumplimiento</t>
        </is>
      </c>
      <c r="F9" s="224" t="n"/>
      <c r="G9" s="225" t="n"/>
      <c r="H9" s="44" t="inlineStr">
        <is>
          <t>OBSERVACIONES</t>
        </is>
      </c>
    </row>
    <row r="10" ht="20.25" customHeight="1" s="215">
      <c r="B10" s="41" t="inlineStr">
        <is>
          <t>REQUISITOS NO FUNCIONALES GENERALES</t>
        </is>
      </c>
      <c r="C10" s="226" t="n"/>
      <c r="D10" s="43" t="n"/>
      <c r="E10" s="44" t="inlineStr">
        <is>
          <t>SI</t>
        </is>
      </c>
      <c r="F10" s="45" t="inlineStr">
        <is>
          <t>ADI</t>
        </is>
      </c>
      <c r="G10" s="45" t="inlineStr">
        <is>
          <t>NO</t>
        </is>
      </c>
      <c r="H10" s="227" t="n"/>
      <c r="I10" s="47" t="n"/>
    </row>
    <row r="11" ht="11.25" customHeight="1" s="215">
      <c r="B11" s="48" t="n"/>
      <c r="C11" s="49" t="n"/>
      <c r="H11" s="50" t="n"/>
    </row>
    <row r="12" s="215">
      <c r="A12" s="51" t="n"/>
      <c r="B12" s="52" t="n">
        <v>1</v>
      </c>
      <c r="C12" s="228" t="inlineStr">
        <is>
          <t>NF-001 – Seguridad de datos y control de acceso</t>
        </is>
      </c>
      <c r="D12" s="229" t="n"/>
      <c r="E12" s="55" t="n"/>
      <c r="F12" s="55" t="inlineStr">
        <is>
          <t>x</t>
        </is>
      </c>
      <c r="G12" s="55" t="n"/>
      <c r="H12" s="56" t="inlineStr">
        <is>
          <t>En observación (SI y NO marcados).</t>
        </is>
      </c>
      <c r="J12" s="57" t="inlineStr">
        <is>
          <t>requerimientos total</t>
        </is>
      </c>
      <c r="K12" s="58">
        <f>COUNTA(C12:C110)</f>
        <v/>
      </c>
    </row>
    <row r="13" s="215">
      <c r="A13" s="51" t="n"/>
      <c r="B13" s="52" t="n">
        <v>2</v>
      </c>
      <c r="C13" s="228" t="inlineStr">
        <is>
          <t>NF-001A – Uso de hashing fuerte para contraseñas de usuarios</t>
        </is>
      </c>
      <c r="D13" s="229" t="n"/>
      <c r="E13" s="55" t="inlineStr">
        <is>
          <t>x</t>
        </is>
      </c>
      <c r="F13" s="55" t="n"/>
      <c r="G13" s="55" t="n"/>
      <c r="H13" s="56" t="n"/>
      <c r="J13" s="57" t="inlineStr">
        <is>
          <t>requerimientos completados</t>
        </is>
      </c>
      <c r="K13" s="58">
        <f>COUNTA(E12:E110)</f>
        <v/>
      </c>
    </row>
    <row r="14" s="215">
      <c r="A14" s="51" t="n"/>
      <c r="B14" s="52" t="n">
        <v>3</v>
      </c>
      <c r="C14" s="228" t="inlineStr">
        <is>
          <t>NF-001B – Protección de rutas críticas mediante JWT y roles</t>
        </is>
      </c>
      <c r="D14" s="229" t="n"/>
      <c r="E14" s="55" t="inlineStr">
        <is>
          <t>x</t>
        </is>
      </c>
      <c r="F14" s="55" t="n"/>
      <c r="G14" s="55" t="n"/>
      <c r="H14" s="56" t="n"/>
      <c r="J14" s="57" t="inlineStr">
        <is>
          <t>requerimientos sin completar</t>
        </is>
      </c>
      <c r="K14" s="58">
        <f>K12 - K13</f>
        <v/>
      </c>
    </row>
    <row r="15" s="215">
      <c r="A15" s="51" t="n"/>
      <c r="B15" s="52" t="n">
        <v>4</v>
      </c>
      <c r="C15" s="228" t="inlineStr">
        <is>
          <t>NF-002 – Verificación de documentos de soporte de proyecto</t>
        </is>
      </c>
      <c r="D15" s="229" t="n"/>
      <c r="E15" s="55" t="n"/>
      <c r="F15" s="55" t="n"/>
      <c r="G15" s="55" t="inlineStr">
        <is>
          <t>x</t>
        </is>
      </c>
      <c r="H15" s="56" t="inlineStr">
        <is>
          <t>No hecho.</t>
        </is>
      </c>
      <c r="J15" s="57" t="inlineStr">
        <is>
          <t>porcentaje</t>
        </is>
      </c>
      <c r="K15" s="58">
        <f>TEXT((K13/K12)*100,"0,00") &amp; "%"</f>
        <v/>
      </c>
    </row>
    <row r="16" s="215">
      <c r="A16" s="51" t="n"/>
      <c r="B16" s="52" t="n">
        <v>5</v>
      </c>
      <c r="C16" s="228" t="inlineStr">
        <is>
          <t>NF-003 – Disponibilidad general del sistema</t>
        </is>
      </c>
      <c r="D16" s="229" t="n"/>
      <c r="E16" s="55" t="n"/>
      <c r="F16" s="55" t="n"/>
      <c r="G16" s="55" t="inlineStr">
        <is>
          <t>x</t>
        </is>
      </c>
      <c r="H16" s="56" t="inlineStr">
        <is>
          <t>No hecho.</t>
        </is>
      </c>
      <c r="J16" s="57" t="n"/>
      <c r="K16" s="58" t="n"/>
    </row>
    <row r="17" s="215">
      <c r="A17" s="51" t="n"/>
      <c r="B17" s="52" t="n">
        <v>6</v>
      </c>
      <c r="C17" s="228" t="inlineStr">
        <is>
          <t>NF-004 – Escalabilidad para gran cantidad de usuarios y datos</t>
        </is>
      </c>
      <c r="D17" s="229" t="n"/>
      <c r="E17" s="55" t="n"/>
      <c r="F17" s="55" t="n"/>
      <c r="G17" s="55" t="inlineStr">
        <is>
          <t>x</t>
        </is>
      </c>
      <c r="H17" s="56" t="inlineStr">
        <is>
          <t>No hecho.</t>
        </is>
      </c>
      <c r="J17" s="57" t="n"/>
      <c r="K17" s="58" t="n"/>
    </row>
    <row r="18" s="215">
      <c r="A18" s="51" t="n"/>
      <c r="B18" s="52" t="n">
        <v>7</v>
      </c>
      <c r="C18" s="228" t="inlineStr">
        <is>
          <t>NF-005 – Soporte multiusuario</t>
        </is>
      </c>
      <c r="D18" s="229" t="n"/>
      <c r="E18" s="55" t="inlineStr">
        <is>
          <t>x</t>
        </is>
      </c>
      <c r="F18" s="55" t="n"/>
      <c r="G18" s="55" t="n"/>
      <c r="H18" s="56" t="n"/>
      <c r="J18" s="57" t="n"/>
      <c r="K18" s="58" t="n"/>
    </row>
    <row r="19" s="215">
      <c r="A19" s="51" t="n"/>
      <c r="B19" s="52" t="n">
        <v>8</v>
      </c>
      <c r="C19" s="228" t="inlineStr">
        <is>
          <t>NF-006 – Mantenibilidad y administración de la base de datos</t>
        </is>
      </c>
      <c r="D19" s="229" t="n"/>
      <c r="E19" s="55" t="inlineStr">
        <is>
          <t>x</t>
        </is>
      </c>
      <c r="F19" s="55" t="n"/>
      <c r="G19" s="55" t="n"/>
      <c r="H19" s="56" t="n"/>
      <c r="J19" s="57" t="n"/>
      <c r="K19" s="58" t="n"/>
    </row>
    <row r="20" s="215">
      <c r="A20" s="51" t="n"/>
      <c r="B20" s="52" t="n">
        <v>9</v>
      </c>
      <c r="C20" s="228" t="inlineStr">
        <is>
          <t>NF-007 – Almacenamiento de registro fotográfico</t>
        </is>
      </c>
      <c r="D20" s="229" t="n"/>
      <c r="E20" s="55" t="inlineStr">
        <is>
          <t>x</t>
        </is>
      </c>
      <c r="F20" s="55" t="n"/>
      <c r="G20" s="55" t="n"/>
      <c r="H20" s="56" t="n"/>
      <c r="J20" s="57" t="n"/>
      <c r="K20" s="58" t="n"/>
    </row>
    <row r="21" ht="15.75" customHeight="1" s="215">
      <c r="A21" s="51" t="n"/>
      <c r="B21" s="52" t="n">
        <v>10</v>
      </c>
      <c r="C21" s="228" t="inlineStr">
        <is>
          <t>NF-007A – Límite de imágenes por restaurante para evitar sobrecarga</t>
        </is>
      </c>
      <c r="D21" s="229" t="n"/>
      <c r="E21" s="55" t="inlineStr">
        <is>
          <t>x</t>
        </is>
      </c>
      <c r="F21" s="55" t="n"/>
      <c r="G21" s="55" t="n"/>
      <c r="H21" s="56" t="n"/>
      <c r="J21" s="57" t="n"/>
      <c r="K21" s="58" t="n"/>
    </row>
    <row r="22" ht="15.75" customHeight="1" s="215">
      <c r="A22" s="51" t="n"/>
      <c r="B22" s="52" t="n">
        <v>11</v>
      </c>
      <c r="C22" s="228" t="inlineStr">
        <is>
          <t>NF-008 – Capacidad de integrarse con otros sistemas</t>
        </is>
      </c>
      <c r="D22" s="229" t="n"/>
      <c r="E22" s="55" t="inlineStr">
        <is>
          <t>x</t>
        </is>
      </c>
      <c r="F22" s="55" t="n"/>
      <c r="G22" s="55" t="n"/>
      <c r="H22" s="56" t="n"/>
      <c r="J22" s="57" t="n"/>
      <c r="K22" s="58" t="n"/>
    </row>
    <row r="23" ht="15.75" customHeight="1" s="215">
      <c r="A23" s="51" t="n"/>
      <c r="B23" s="52" t="n">
        <v>12</v>
      </c>
      <c r="C23" s="228" t="inlineStr">
        <is>
          <t>NF-009 – Tiempo máximo de respuesta de 5 segundos para consultas</t>
        </is>
      </c>
      <c r="D23" s="229" t="n"/>
      <c r="E23" s="55" t="n"/>
      <c r="F23" s="55" t="n"/>
      <c r="G23" s="55" t="inlineStr">
        <is>
          <t>x</t>
        </is>
      </c>
      <c r="H23" s="56" t="inlineStr">
        <is>
          <t>No hecho.</t>
        </is>
      </c>
      <c r="J23" s="57" t="n"/>
      <c r="K23" s="58" t="n"/>
    </row>
    <row r="24" ht="15.75" customHeight="1" s="215">
      <c r="A24" s="51" t="n"/>
      <c r="B24" s="52" t="n">
        <v>13</v>
      </c>
      <c r="C24" s="228" t="inlineStr">
        <is>
          <t>NF-010 – Cambio de permisos solo por usuarios autorizados</t>
        </is>
      </c>
      <c r="D24" s="229" t="n"/>
      <c r="E24" s="55" t="inlineStr">
        <is>
          <t>x</t>
        </is>
      </c>
      <c r="F24" s="55" t="n"/>
      <c r="G24" s="55" t="n"/>
      <c r="H24" s="56" t="n"/>
      <c r="J24" s="57" t="n"/>
      <c r="K24" s="58" t="n"/>
    </row>
    <row r="25" ht="15.75" customHeight="1" s="215">
      <c r="A25" s="51" t="n"/>
      <c r="B25" s="52" t="n">
        <v>14</v>
      </c>
      <c r="C25" s="228" t="inlineStr">
        <is>
          <t>NF-011 – Disponibilidad del 99,99 %</t>
        </is>
      </c>
      <c r="D25" s="229" t="n"/>
      <c r="E25" s="55" t="n"/>
      <c r="F25" s="55" t="n"/>
      <c r="G25" s="55" t="inlineStr">
        <is>
          <t>x</t>
        </is>
      </c>
      <c r="H25" s="56" t="inlineStr">
        <is>
          <t>No hecho.</t>
        </is>
      </c>
      <c r="J25" s="57" t="n"/>
      <c r="K25" s="58" t="n"/>
    </row>
    <row r="26" ht="15.75" customHeight="1" s="215">
      <c r="A26" s="51" t="n"/>
      <c r="B26" s="52" t="n">
        <v>15</v>
      </c>
      <c r="C26" s="228" t="inlineStr">
        <is>
          <t>NF-012 – Uso de PostgreSQL como motor de base de datos</t>
        </is>
      </c>
      <c r="D26" s="229" t="n"/>
      <c r="E26" s="55" t="inlineStr">
        <is>
          <t>x</t>
        </is>
      </c>
      <c r="F26" s="55" t="n"/>
      <c r="G26" s="55" t="n"/>
      <c r="H26" s="56" t="n"/>
      <c r="J26" s="57" t="n"/>
      <c r="K26" s="58" t="n"/>
    </row>
    <row r="27" ht="15.75" customHeight="1" s="215">
      <c r="A27" s="51" t="n"/>
      <c r="B27" s="52" t="n">
        <v>16</v>
      </c>
      <c r="C27" s="228" t="inlineStr">
        <is>
          <t>NF-013 – Manuales de usuario estructurados</t>
        </is>
      </c>
      <c r="D27" s="229" t="n"/>
      <c r="E27" s="55" t="n"/>
      <c r="F27" s="55" t="n"/>
      <c r="G27" s="55" t="inlineStr">
        <is>
          <t>x</t>
        </is>
      </c>
      <c r="H27" s="56" t="inlineStr">
        <is>
          <t>No hecho.</t>
        </is>
      </c>
      <c r="J27" s="57" t="n"/>
      <c r="K27" s="58" t="n"/>
    </row>
    <row r="28" ht="15.75" customHeight="1" s="215">
      <c r="A28" s="51" t="n"/>
      <c r="B28" s="52" t="n">
        <v>17</v>
      </c>
      <c r="C28" s="228" t="inlineStr">
        <is>
          <t>NF-014 – Capacidad de procesar N transacciones por segundo</t>
        </is>
      </c>
      <c r="D28" s="229" t="n"/>
      <c r="E28" s="55" t="n"/>
      <c r="F28" s="55" t="n"/>
      <c r="G28" s="55" t="inlineStr">
        <is>
          <t>x</t>
        </is>
      </c>
      <c r="H28" s="56" t="inlineStr">
        <is>
          <t>No hecho.</t>
        </is>
      </c>
      <c r="J28" s="57" t="n"/>
      <c r="K28" s="58" t="n"/>
    </row>
    <row r="29" ht="15.75" customHeight="1" s="215">
      <c r="A29" s="51" t="n"/>
      <c r="B29" s="52" t="n">
        <v>18</v>
      </c>
      <c r="C29" s="228" t="inlineStr">
        <is>
          <t>NF-015 – Integración con Active Directory y Single Sign-On (SSO)</t>
        </is>
      </c>
      <c r="D29" s="229" t="n"/>
      <c r="E29" s="55" t="n"/>
      <c r="F29" s="55" t="n"/>
      <c r="G29" s="55" t="inlineStr">
        <is>
          <t>x</t>
        </is>
      </c>
      <c r="H29" s="56" t="inlineStr">
        <is>
          <t>No hecho.</t>
        </is>
      </c>
      <c r="J29" s="57" t="n"/>
      <c r="K29" s="58" t="n"/>
    </row>
    <row r="30" ht="15.75" customHeight="1" s="215">
      <c r="A30" s="51" t="n"/>
      <c r="B30" s="52" t="n">
        <v>19</v>
      </c>
      <c r="C30" s="228" t="inlineStr">
        <is>
          <t>NF-016 – Integración con servidores de correo para notificaciones</t>
        </is>
      </c>
      <c r="D30" s="229" t="n"/>
      <c r="E30" s="55" t="inlineStr">
        <is>
          <t>x</t>
        </is>
      </c>
      <c r="F30" s="55" t="n"/>
      <c r="G30" s="55" t="n"/>
      <c r="H30" s="56" t="n"/>
      <c r="J30" s="57" t="n"/>
      <c r="K30" s="58" t="n"/>
    </row>
    <row r="31" ht="15.75" customHeight="1" s="215">
      <c r="A31" s="51" t="n"/>
      <c r="B31" s="52" t="n">
        <v>20</v>
      </c>
      <c r="C31" s="228" t="inlineStr">
        <is>
          <t>NF-017 – Auditoría de cambios en los registros de la base de datos</t>
        </is>
      </c>
      <c r="D31" s="229" t="n"/>
      <c r="E31" s="55" t="inlineStr">
        <is>
          <t>x</t>
        </is>
      </c>
      <c r="F31" s="55" t="n"/>
      <c r="G31" s="55" t="n"/>
      <c r="H31" s="56" t="n"/>
      <c r="J31" s="57" t="n"/>
      <c r="K31" s="58" t="n"/>
    </row>
    <row r="32" ht="15.75" customHeight="1" s="215">
      <c r="A32" s="51" t="n"/>
      <c r="B32" s="52" t="n">
        <v>21</v>
      </c>
      <c r="C32" s="228" t="inlineStr">
        <is>
          <t>NF-018 – Registro de usuario, dato original/final y fecha del cambio</t>
        </is>
      </c>
      <c r="D32" s="229" t="n"/>
      <c r="E32" s="55" t="inlineStr">
        <is>
          <t>x</t>
        </is>
      </c>
      <c r="F32" s="55" t="n"/>
      <c r="G32" s="55" t="n"/>
      <c r="H32" s="56" t="n"/>
      <c r="J32" s="57" t="n"/>
      <c r="K32" s="58" t="n"/>
    </row>
    <row r="33" ht="15.75" customHeight="1" s="215">
      <c r="A33" s="51" t="n"/>
      <c r="B33" s="52" t="n">
        <v>22</v>
      </c>
      <c r="C33" s="228" t="inlineStr">
        <is>
          <t>NF-019 – Acceso rápido a menús, funciones y listas</t>
        </is>
      </c>
      <c r="D33" s="229" t="n"/>
      <c r="E33" s="55" t="inlineStr">
        <is>
          <t>x</t>
        </is>
      </c>
      <c r="F33" s="55" t="n"/>
      <c r="G33" s="55" t="n"/>
      <c r="H33" s="56" t="n"/>
      <c r="J33" s="57" t="n"/>
      <c r="K33" s="58" t="n"/>
    </row>
    <row r="34" ht="15.75" customHeight="1" s="215">
      <c r="A34" s="51" t="n"/>
      <c r="B34" s="52" t="n">
        <v>23</v>
      </c>
      <c r="C34" s="228" t="inlineStr">
        <is>
          <t>NF-020 – Integración con servicio de factura electrónica</t>
        </is>
      </c>
      <c r="D34" s="229" t="n"/>
      <c r="E34" s="55" t="n"/>
      <c r="F34" s="55" t="n"/>
      <c r="G34" s="55" t="inlineStr">
        <is>
          <t>x</t>
        </is>
      </c>
      <c r="H34" s="56" t="inlineStr">
        <is>
          <t>No hecho.</t>
        </is>
      </c>
      <c r="J34" s="57" t="n"/>
      <c r="K34" s="58" t="n"/>
    </row>
    <row r="35" ht="15.75" customHeight="1" s="215">
      <c r="A35" s="51" t="n"/>
      <c r="B35" s="52" t="n">
        <v>24</v>
      </c>
      <c r="C35" s="228" t="inlineStr">
        <is>
          <t>NF-021 – Parametrización en línea (reportes, tablas maestras, ayudas)</t>
        </is>
      </c>
      <c r="D35" s="229" t="n"/>
      <c r="E35" s="55" t="inlineStr">
        <is>
          <t>x</t>
        </is>
      </c>
      <c r="F35" s="55" t="n"/>
      <c r="G35" s="55" t="n"/>
      <c r="H35" s="56" t="n"/>
      <c r="J35" s="57" t="n"/>
      <c r="K35" s="58" t="n"/>
    </row>
    <row r="36" ht="15.75" customHeight="1" s="215">
      <c r="A36" s="51" t="n"/>
      <c r="B36" s="52" t="n">
        <v>25</v>
      </c>
      <c r="C36" s="228" t="inlineStr">
        <is>
          <t>NF-022 – Interacción con el portal corporativo de la Empresa</t>
        </is>
      </c>
      <c r="D36" s="229" t="n"/>
      <c r="E36" s="55" t="n"/>
      <c r="F36" s="55" t="n"/>
      <c r="G36" s="55" t="inlineStr">
        <is>
          <t>x</t>
        </is>
      </c>
      <c r="H36" s="56" t="inlineStr">
        <is>
          <t>No hecho.</t>
        </is>
      </c>
      <c r="J36" s="57" t="n"/>
      <c r="K36" s="58" t="n"/>
    </row>
    <row r="37" ht="15.75" customHeight="1" s="215">
      <c r="A37" s="51" t="n"/>
      <c r="B37" s="52" t="n">
        <v>26</v>
      </c>
      <c r="C37" s="228" t="inlineStr">
        <is>
          <t>NF-023 – Soporte multiusuario (reiteración)</t>
        </is>
      </c>
      <c r="D37" s="229" t="n"/>
      <c r="E37" s="55" t="inlineStr">
        <is>
          <t>x</t>
        </is>
      </c>
      <c r="F37" s="55" t="n"/>
      <c r="G37" s="55" t="n"/>
      <c r="H37" s="56" t="n"/>
      <c r="J37" s="57" t="n"/>
      <c r="K37" s="58" t="n"/>
    </row>
    <row r="38" ht="15.75" customHeight="1" s="215">
      <c r="A38" s="51" t="n"/>
      <c r="B38" s="52" t="n">
        <v>27</v>
      </c>
      <c r="C38" s="228" t="inlineStr">
        <is>
          <t>NF-024 – Sistema multicompañía y multisede</t>
        </is>
      </c>
      <c r="D38" s="229" t="n"/>
      <c r="E38" s="55" t="n"/>
      <c r="F38" s="55" t="n"/>
      <c r="G38" s="55" t="inlineStr">
        <is>
          <t>x</t>
        </is>
      </c>
      <c r="H38" s="56" t="inlineStr">
        <is>
          <t>No hecho.</t>
        </is>
      </c>
      <c r="J38" s="57" t="n"/>
      <c r="K38" s="58" t="n"/>
    </row>
    <row r="39" ht="15.75" customHeight="1" s="215">
      <c r="A39" s="51" t="n"/>
      <c r="B39" s="52" t="n">
        <v>28</v>
      </c>
      <c r="C39" s="228" t="inlineStr">
        <is>
          <t>NF-025 – Opción de acceso rápido a diferentes aplicaciones o módulos</t>
        </is>
      </c>
      <c r="D39" s="229" t="n"/>
      <c r="E39" s="55" t="inlineStr">
        <is>
          <t>x</t>
        </is>
      </c>
      <c r="F39" s="55" t="n"/>
      <c r="G39" s="55" t="n"/>
      <c r="H39" s="56" t="n"/>
      <c r="J39" s="57" t="n"/>
      <c r="K39" s="58" t="n"/>
    </row>
    <row r="40" ht="15.75" customHeight="1" s="215">
      <c r="A40" s="51" t="n"/>
      <c r="B40" s="52" t="n">
        <v>29</v>
      </c>
      <c r="C40" s="228" t="inlineStr">
        <is>
          <t>NF-026 – Definición de menús según perfiles de usuario</t>
        </is>
      </c>
      <c r="D40" s="229" t="n"/>
      <c r="E40" s="55" t="inlineStr">
        <is>
          <t>x</t>
        </is>
      </c>
      <c r="F40" s="55" t="n"/>
      <c r="G40" s="55" t="n"/>
      <c r="H40" s="56" t="n"/>
      <c r="J40" s="57" t="n"/>
      <c r="K40" s="58" t="n"/>
    </row>
    <row r="41" ht="15.75" customHeight="1" s="215">
      <c r="A41" s="51" t="n"/>
      <c r="B41" s="52" t="n">
        <v>30</v>
      </c>
      <c r="C41" s="228" t="inlineStr">
        <is>
          <t>NF-027 – Integración total entre módulos sin redundancia de información</t>
        </is>
      </c>
      <c r="D41" s="229" t="n"/>
      <c r="E41" s="55" t="inlineStr">
        <is>
          <t>x</t>
        </is>
      </c>
      <c r="F41" s="55" t="n"/>
      <c r="G41" s="55" t="n"/>
      <c r="H41" s="56" t="n"/>
      <c r="J41" s="57" t="n"/>
      <c r="K41" s="58" t="n"/>
    </row>
    <row r="42" ht="15.75" customHeight="1" s="215">
      <c r="A42" s="51" t="n"/>
      <c r="B42" s="52" t="n">
        <v>31</v>
      </c>
      <c r="C42" s="228" t="inlineStr">
        <is>
          <t>NF-028 – Operación vía navegador web (intranet/internet)</t>
        </is>
      </c>
      <c r="D42" s="229" t="n"/>
      <c r="E42" s="55" t="inlineStr">
        <is>
          <t>x</t>
        </is>
      </c>
      <c r="F42" s="55" t="n"/>
      <c r="G42" s="55" t="n"/>
      <c r="H42" s="56" t="n"/>
      <c r="J42" s="57" t="n"/>
      <c r="K42" s="58" t="n"/>
    </row>
    <row r="43" ht="15.75" customHeight="1" s="215">
      <c r="A43" s="51" t="n"/>
      <c r="B43" s="52" t="n">
        <v>32</v>
      </c>
      <c r="C43" s="228" t="inlineStr">
        <is>
          <t>NF-029 – Acceso web para proveedores, órdenes de compra, nómina, etc.</t>
        </is>
      </c>
      <c r="D43" s="229" t="n"/>
      <c r="E43" s="55" t="n"/>
      <c r="F43" s="55" t="n"/>
      <c r="G43" s="55" t="inlineStr">
        <is>
          <t>x</t>
        </is>
      </c>
      <c r="H43" s="56" t="inlineStr">
        <is>
          <t>No hecho.</t>
        </is>
      </c>
      <c r="J43" s="57" t="n"/>
      <c r="K43" s="58" t="n"/>
    </row>
    <row r="44" ht="15.75" customHeight="1" s="215">
      <c r="A44" s="51" t="n"/>
      <c r="B44" s="52" t="n">
        <v>33</v>
      </c>
      <c r="C44" s="228" t="inlineStr">
        <is>
          <t>NF-030 – Herramientas para toma de decisiones y tableros de control</t>
        </is>
      </c>
      <c r="D44" s="229" t="n"/>
      <c r="E44" s="55" t="inlineStr">
        <is>
          <t>x</t>
        </is>
      </c>
      <c r="F44" s="55" t="n"/>
      <c r="G44" s="55" t="n"/>
      <c r="H44" s="56" t="n"/>
      <c r="J44" s="57" t="n"/>
      <c r="K44" s="58" t="n"/>
    </row>
    <row r="45" ht="15.75" customHeight="1" s="215">
      <c r="A45" s="51" t="n"/>
      <c r="B45" s="52" t="n">
        <v>34</v>
      </c>
      <c r="C45" s="228" t="inlineStr">
        <is>
          <t>NF-031 – Parametrización de cantidad, frecuencia y fechas de reportes automáticos</t>
        </is>
      </c>
      <c r="D45" s="229" t="n"/>
      <c r="E45" s="55" t="n"/>
      <c r="F45" s="55" t="n"/>
      <c r="G45" s="55" t="inlineStr">
        <is>
          <t>x</t>
        </is>
      </c>
      <c r="H45" s="56" t="inlineStr">
        <is>
          <t>No hecho.</t>
        </is>
      </c>
      <c r="J45" s="57" t="n"/>
      <c r="K45" s="58" t="n"/>
    </row>
    <row r="46" ht="15.75" customHeight="1" s="215">
      <c r="A46" s="51" t="n"/>
      <c r="B46" s="52" t="n">
        <v>35</v>
      </c>
      <c r="C46" s="228" t="inlineStr">
        <is>
          <t>NF-032 – Exportación de reportes en múltiples formatos</t>
        </is>
      </c>
      <c r="D46" s="229" t="n"/>
      <c r="E46" s="55" t="inlineStr">
        <is>
          <t>x</t>
        </is>
      </c>
      <c r="F46" s="55" t="n"/>
      <c r="G46" s="55" t="n"/>
      <c r="H46" s="56" t="n"/>
      <c r="J46" s="57" t="n"/>
      <c r="K46" s="58" t="n"/>
    </row>
    <row r="47" ht="15.75" customHeight="1" s="215">
      <c r="A47" s="51" t="n"/>
      <c r="B47" s="52" t="n">
        <v>36</v>
      </c>
      <c r="C47" s="228" t="inlineStr">
        <is>
          <t>NF-032A – Exportación de información en formato CSV desde la interfaz</t>
        </is>
      </c>
      <c r="D47" s="229" t="n"/>
      <c r="E47" s="55" t="inlineStr">
        <is>
          <t>x</t>
        </is>
      </c>
      <c r="F47" s="55" t="n"/>
      <c r="G47" s="55" t="n"/>
      <c r="H47" s="56" t="n"/>
      <c r="J47" s="57" t="n"/>
      <c r="K47" s="58" t="n"/>
    </row>
    <row r="48" ht="15.75" customHeight="1" s="215">
      <c r="A48" s="51" t="n"/>
      <c r="B48" s="52" t="n">
        <v>37</v>
      </c>
      <c r="C48" s="228" t="inlineStr">
        <is>
          <t>NF-033 – Campos definidos por el usuario en archivos maestros y transacciones</t>
        </is>
      </c>
      <c r="D48" s="229" t="n"/>
      <c r="E48" s="55" t="n"/>
      <c r="F48" s="55" t="n"/>
      <c r="G48" s="55" t="inlineStr">
        <is>
          <t>x</t>
        </is>
      </c>
      <c r="H48" s="56" t="inlineStr">
        <is>
          <t>No hecho.</t>
        </is>
      </c>
      <c r="J48" s="57" t="n"/>
      <c r="K48" s="58" t="n"/>
    </row>
    <row r="49" ht="15.75" customHeight="1" s="215">
      <c r="A49" s="51" t="n"/>
      <c r="B49" s="52" t="n">
        <v>38</v>
      </c>
      <c r="C49" s="228" t="inlineStr">
        <is>
          <t>NF-034 – Visualización de reportes en pantalla antes de imprimir</t>
        </is>
      </c>
      <c r="D49" s="229" t="n"/>
      <c r="E49" s="55" t="inlineStr">
        <is>
          <t>x</t>
        </is>
      </c>
      <c r="F49" s="55" t="n"/>
      <c r="G49" s="55" t="n"/>
      <c r="H49" s="56" t="n"/>
      <c r="J49" s="57" t="n"/>
      <c r="K49" s="58" t="n"/>
    </row>
    <row r="50" ht="15.75" customHeight="1" s="215">
      <c r="A50" s="51" t="n"/>
      <c r="B50" s="52" t="n">
        <v>39</v>
      </c>
      <c r="C50" s="228" t="inlineStr">
        <is>
          <t>NF-034A – Vista previa en pantalla de facturas y reportes antes de descarga</t>
        </is>
      </c>
      <c r="D50" s="229" t="n"/>
      <c r="E50" s="55" t="inlineStr">
        <is>
          <t>x</t>
        </is>
      </c>
      <c r="F50" s="55" t="n"/>
      <c r="G50" s="55" t="n"/>
      <c r="H50" s="56" t="n"/>
      <c r="J50" s="57" t="n"/>
      <c r="K50" s="58" t="n"/>
    </row>
    <row r="51" ht="15.75" customHeight="1" s="215">
      <c r="A51" s="51" t="n"/>
      <c r="B51" s="52" t="n">
        <v>40</v>
      </c>
      <c r="C51" s="228" t="inlineStr">
        <is>
          <t>NF-035 – Soporte de estándares de webservices (WSDL, XSLT, SOAP, WS-BPEL, XML)</t>
        </is>
      </c>
      <c r="D51" s="229" t="n"/>
      <c r="E51" s="55" t="n"/>
      <c r="F51" s="55" t="n"/>
      <c r="G51" s="55" t="inlineStr">
        <is>
          <t>x</t>
        </is>
      </c>
      <c r="H51" s="56" t="inlineStr">
        <is>
          <t>No hecho.</t>
        </is>
      </c>
      <c r="J51" s="57" t="n"/>
      <c r="K51" s="58" t="n"/>
    </row>
    <row r="52" ht="15.75" customHeight="1" s="215">
      <c r="A52" s="51" t="n"/>
      <c r="B52" s="52" t="n">
        <v>41</v>
      </c>
      <c r="C52" s="228" t="inlineStr">
        <is>
          <t>NF-036 – Adaptabilidad avanzada y eliminación automática de código/campos no usados</t>
        </is>
      </c>
      <c r="D52" s="229" t="n"/>
      <c r="E52" s="55" t="n"/>
      <c r="F52" s="55" t="n"/>
      <c r="G52" s="55" t="inlineStr">
        <is>
          <t>x</t>
        </is>
      </c>
      <c r="H52" s="56" t="inlineStr">
        <is>
          <t>No hecho.</t>
        </is>
      </c>
      <c r="J52" s="57" t="n"/>
      <c r="K52" s="58" t="n"/>
    </row>
    <row r="53" ht="15.75" customHeight="1" s="215">
      <c r="A53" s="51" t="n"/>
      <c r="B53" s="52" t="n">
        <v>42</v>
      </c>
      <c r="C53" s="228" t="inlineStr">
        <is>
          <t>NF-037 – Reportes parametrizables con validación</t>
        </is>
      </c>
      <c r="D53" s="229" t="n"/>
      <c r="E53" s="55" t="inlineStr">
        <is>
          <t>x</t>
        </is>
      </c>
      <c r="F53" s="55" t="n"/>
      <c r="G53" s="55" t="n"/>
      <c r="H53" s="56" t="n"/>
      <c r="J53" s="57" t="n"/>
      <c r="K53" s="58" t="n"/>
    </row>
    <row r="54" ht="15.75" customHeight="1" s="215">
      <c r="A54" s="51" t="n"/>
      <c r="B54" s="52" t="n">
        <v>43</v>
      </c>
      <c r="C54" s="228" t="inlineStr">
        <is>
          <t>NF-038 – Base de datos única de terceros</t>
        </is>
      </c>
      <c r="D54" s="229" t="n"/>
      <c r="E54" s="55" t="n"/>
      <c r="F54" s="55" t="n"/>
      <c r="G54" s="55" t="inlineStr">
        <is>
          <t>x</t>
        </is>
      </c>
      <c r="H54" s="56" t="inlineStr">
        <is>
          <t>No hecho.</t>
        </is>
      </c>
      <c r="J54" s="57" t="n"/>
      <c r="K54" s="58" t="n"/>
    </row>
    <row r="55" ht="15.75" customHeight="1" s="215">
      <c r="A55" s="51" t="n"/>
      <c r="B55" s="52" t="n">
        <v>44</v>
      </c>
      <c r="C55" s="228" t="inlineStr">
        <is>
          <t>NF-039 – Restricciones de identificación para terceros (NIT, CC, RC, CE)</t>
        </is>
      </c>
      <c r="D55" s="229" t="n"/>
      <c r="E55" s="55" t="n"/>
      <c r="F55" s="55" t="n"/>
      <c r="G55" s="55" t="inlineStr">
        <is>
          <t>x</t>
        </is>
      </c>
      <c r="H55" s="56" t="inlineStr">
        <is>
          <t>No hecho.</t>
        </is>
      </c>
      <c r="J55" s="57" t="n"/>
      <c r="K55" s="58" t="n"/>
    </row>
    <row r="56" ht="15.75" customHeight="1" s="215">
      <c r="A56" s="51" t="n"/>
      <c r="B56" s="52" t="n">
        <v>45</v>
      </c>
      <c r="C56" s="228" t="inlineStr">
        <is>
          <t>NF-040 – Uso de procedimientos almacenados, triggers y vistas</t>
        </is>
      </c>
      <c r="D56" s="229" t="n"/>
      <c r="E56" s="55" t="inlineStr">
        <is>
          <t>x</t>
        </is>
      </c>
      <c r="F56" s="55" t="n"/>
      <c r="G56" s="55" t="n"/>
      <c r="H56" s="56" t="n"/>
      <c r="J56" s="57" t="n"/>
      <c r="K56" s="58" t="n"/>
    </row>
    <row r="57" ht="15.75" customHeight="1" s="215">
      <c r="A57" s="51" t="n"/>
      <c r="B57" s="52" t="n">
        <v>46</v>
      </c>
      <c r="C57" s="228" t="inlineStr">
        <is>
          <t>NF-041 – Independencia entre dispositivos de almacenamiento y controladores de software</t>
        </is>
      </c>
      <c r="D57" s="229" t="n"/>
      <c r="E57" s="55" t="n"/>
      <c r="F57" s="55" t="n"/>
      <c r="G57" s="55" t="inlineStr">
        <is>
          <t>x</t>
        </is>
      </c>
      <c r="H57" s="56" t="inlineStr">
        <is>
          <t>No hecho.</t>
        </is>
      </c>
      <c r="J57" s="57" t="n"/>
      <c r="K57" s="58" t="n"/>
    </row>
    <row r="58" ht="15.75" customHeight="1" s="215">
      <c r="A58" s="51" t="n"/>
      <c r="B58" s="52" t="n">
        <v>47</v>
      </c>
      <c r="C58" s="228" t="inlineStr">
        <is>
          <t>NF-042 – Herramienta de integración nativa tipo ESB/colas/batch para ERP corporativo</t>
        </is>
      </c>
      <c r="D58" s="229" t="n"/>
      <c r="E58" s="55" t="n"/>
      <c r="F58" s="55" t="n"/>
      <c r="G58" s="55" t="inlineStr">
        <is>
          <t>x</t>
        </is>
      </c>
      <c r="H58" s="56" t="inlineStr">
        <is>
          <t>No hecho.</t>
        </is>
      </c>
      <c r="J58" s="57" t="n"/>
      <c r="K58" s="58" t="n"/>
    </row>
    <row r="59" ht="15.75" customHeight="1" s="215">
      <c r="A59" s="51" t="n"/>
      <c r="B59" s="52" t="n">
        <v>48</v>
      </c>
      <c r="C59" s="228" t="inlineStr">
        <is>
          <t>NF-043 – Ayuda en línea y tutoriales</t>
        </is>
      </c>
      <c r="D59" s="229" t="n"/>
      <c r="E59" s="55" t="n"/>
      <c r="F59" s="55" t="n"/>
      <c r="G59" s="55" t="inlineStr">
        <is>
          <t>x</t>
        </is>
      </c>
      <c r="H59" s="56" t="inlineStr">
        <is>
          <t>No hecho.</t>
        </is>
      </c>
      <c r="J59" s="57" t="n"/>
      <c r="K59" s="58" t="n"/>
    </row>
    <row r="60" ht="15.75" customHeight="1" s="215">
      <c r="A60" s="51" t="n"/>
      <c r="B60" s="52" t="n">
        <v>49</v>
      </c>
      <c r="C60" s="228" t="inlineStr">
        <is>
          <t>NF-044 – Módulo de parametrización de datos maestros y tipos de documentos</t>
        </is>
      </c>
      <c r="D60" s="229" t="n"/>
      <c r="E60" s="55" t="inlineStr">
        <is>
          <t>x</t>
        </is>
      </c>
      <c r="F60" s="55" t="n"/>
      <c r="G60" s="55" t="n"/>
      <c r="H60" s="56" t="n"/>
      <c r="J60" s="57" t="n"/>
      <c r="K60" s="58" t="n"/>
    </row>
    <row r="61" ht="15.75" customHeight="1" s="215">
      <c r="A61" s="51" t="n"/>
      <c r="B61" s="52" t="n">
        <v>50</v>
      </c>
      <c r="C61" s="228" t="inlineStr">
        <is>
          <t>NF-045 – Logs consolidados de transacciones por perfil y periodo</t>
        </is>
      </c>
      <c r="D61" s="229" t="n"/>
      <c r="E61" s="55" t="n"/>
      <c r="F61" s="55" t="n"/>
      <c r="G61" s="55" t="inlineStr">
        <is>
          <t>x</t>
        </is>
      </c>
      <c r="H61" s="56" t="inlineStr">
        <is>
          <t>No hecho.</t>
        </is>
      </c>
      <c r="J61" s="57" t="n"/>
      <c r="K61" s="58" t="n"/>
    </row>
    <row r="62" ht="15.75" customHeight="1" s="215">
      <c r="A62" s="51" t="n"/>
      <c r="B62" s="52" t="n">
        <v>51</v>
      </c>
      <c r="C62" s="228" t="inlineStr">
        <is>
          <t>NF-046 – Consultas tipo tabla dinámica y exportación de información</t>
        </is>
      </c>
      <c r="D62" s="229" t="n"/>
      <c r="E62" s="55" t="inlineStr">
        <is>
          <t>x</t>
        </is>
      </c>
      <c r="F62" s="55" t="n"/>
      <c r="G62" s="55" t="n"/>
      <c r="H62" s="56" t="n"/>
      <c r="J62" s="57" t="n"/>
      <c r="K62" s="58" t="n"/>
    </row>
    <row r="63" ht="15.75" customHeight="1" s="215">
      <c r="A63" s="51" t="n"/>
      <c r="B63" s="52" t="n">
        <v>52</v>
      </c>
      <c r="C63" s="228" t="inlineStr">
        <is>
          <t>NF-047 – Datos personales de usuarios (contacto, email, cargo, etc.)</t>
        </is>
      </c>
      <c r="D63" s="229" t="n"/>
      <c r="E63" s="55" t="inlineStr">
        <is>
          <t>x</t>
        </is>
      </c>
      <c r="F63" s="55" t="n"/>
      <c r="G63" s="55" t="n"/>
      <c r="H63" s="56" t="n"/>
      <c r="J63" s="57" t="n"/>
      <c r="K63" s="58" t="n"/>
    </row>
    <row r="64" ht="15.75" customHeight="1" s="215">
      <c r="A64" s="51" t="n"/>
      <c r="B64" s="52" t="n">
        <v>53</v>
      </c>
      <c r="C64" s="228" t="inlineStr">
        <is>
          <t>NF-048 – Restricción de acceso a rutas de backend según rol</t>
        </is>
      </c>
      <c r="D64" s="229" t="n"/>
      <c r="E64" s="55" t="inlineStr">
        <is>
          <t>x</t>
        </is>
      </c>
      <c r="F64" s="55" t="n"/>
      <c r="G64" s="55" t="n"/>
      <c r="H64" s="56" t="n"/>
      <c r="J64" s="57" t="n"/>
      <c r="K64" s="58" t="n"/>
    </row>
    <row r="65" ht="15.75" customHeight="1" s="215">
      <c r="A65" s="51" t="n"/>
      <c r="B65" s="52" t="n">
        <v>54</v>
      </c>
      <c r="C65" s="228" t="inlineStr">
        <is>
          <t>NF-049 – Validación de disponibilidad antes de confirmar una reserva</t>
        </is>
      </c>
      <c r="D65" s="229" t="n"/>
      <c r="E65" s="55" t="inlineStr">
        <is>
          <t>x</t>
        </is>
      </c>
      <c r="F65" s="55" t="n"/>
      <c r="G65" s="55" t="n"/>
      <c r="H65" s="56" t="n"/>
      <c r="J65" s="57" t="n"/>
      <c r="K65" s="58" t="n"/>
    </row>
    <row r="66" ht="15.75" customHeight="1" s="215">
      <c r="A66" s="51" t="n"/>
      <c r="B66" s="52" t="n">
        <v>55</v>
      </c>
      <c r="C66" s="228" t="inlineStr">
        <is>
          <t>NF-050 – Términos y condiciones del servicio</t>
        </is>
      </c>
      <c r="D66" s="229" t="n"/>
      <c r="E66" s="55" t="inlineStr">
        <is>
          <t>x</t>
        </is>
      </c>
      <c r="F66" s="55" t="n"/>
      <c r="G66" s="55" t="n"/>
      <c r="H66" s="56" t="n"/>
      <c r="J66" s="57" t="n"/>
      <c r="K66" s="58" t="n"/>
    </row>
    <row r="67" ht="15.75" customHeight="1" s="215">
      <c r="A67" s="51" t="n"/>
      <c r="B67" s="52" t="n">
        <v>56</v>
      </c>
      <c r="C67" s="228" t="inlineStr">
        <is>
          <t>NF-051 – Flujo transaccional integrado entre reserva, factura y pago</t>
        </is>
      </c>
      <c r="D67" s="229" t="n"/>
      <c r="E67" s="55" t="inlineStr">
        <is>
          <t>x</t>
        </is>
      </c>
      <c r="F67" s="55" t="n"/>
      <c r="G67" s="55" t="n"/>
      <c r="H67" s="56" t="n"/>
      <c r="J67" s="57" t="n"/>
      <c r="K67" s="58" t="n"/>
    </row>
    <row r="68" ht="15.75" customHeight="1" s="215">
      <c r="A68" s="51" t="n"/>
      <c r="B68" s="52" t="n">
        <v>57</v>
      </c>
      <c r="C68" s="228" t="inlineStr">
        <is>
          <t>NF-052 – Experiencia de usuario con transiciones y microinteracciones consistentes</t>
        </is>
      </c>
      <c r="D68" s="229" t="n"/>
      <c r="E68" s="55" t="inlineStr">
        <is>
          <t>x</t>
        </is>
      </c>
      <c r="F68" s="55" t="n"/>
      <c r="G68" s="55" t="n"/>
      <c r="H68" s="56" t="n"/>
      <c r="J68" s="57" t="n"/>
      <c r="K68" s="58" t="n"/>
    </row>
    <row r="69" ht="15.75" customHeight="1" s="215">
      <c r="A69" s="51" t="n"/>
      <c r="B69" s="52" t="n">
        <v>58</v>
      </c>
      <c r="C69" s="228" t="inlineStr">
        <is>
          <t>NF-053 – Sistema global de notificaciones en la interfaz</t>
        </is>
      </c>
      <c r="D69" s="229" t="n"/>
      <c r="E69" s="55" t="inlineStr">
        <is>
          <t>x</t>
        </is>
      </c>
      <c r="F69" s="55" t="n"/>
      <c r="G69" s="55" t="n"/>
      <c r="H69" s="56" t="n"/>
      <c r="J69" s="57" t="n"/>
      <c r="K69" s="58" t="n"/>
    </row>
    <row r="70" ht="15.75" customHeight="1" s="215">
      <c r="A70" s="51" t="n"/>
      <c r="B70" s="52" t="n">
        <v>59</v>
      </c>
      <c r="C70" s="228" t="inlineStr">
        <is>
          <t>NF-054 – Soporte de tema claro/oscuro coherente con el diseño</t>
        </is>
      </c>
      <c r="D70" s="229" t="n"/>
      <c r="E70" s="55" t="inlineStr">
        <is>
          <t>x</t>
        </is>
      </c>
      <c r="F70" s="55" t="n"/>
      <c r="G70" s="55" t="n"/>
      <c r="H70" s="56" t="n"/>
      <c r="J70" s="57" t="n"/>
      <c r="K70" s="58" t="n"/>
    </row>
    <row r="71" ht="15.75" customHeight="1" s="215">
      <c r="A71" s="51" t="n"/>
      <c r="B71" s="52" t="n">
        <v>60</v>
      </c>
      <c r="C71" s="228" t="inlineStr">
        <is>
          <t>NF-055 – Gestión programada de recordatorios de reservas</t>
        </is>
      </c>
      <c r="D71" s="229" t="n"/>
      <c r="E71" s="55" t="inlineStr">
        <is>
          <t>x</t>
        </is>
      </c>
      <c r="F71" s="55" t="n"/>
      <c r="G71" s="55" t="n"/>
      <c r="H71" s="56" t="n"/>
      <c r="J71" s="57" t="n"/>
      <c r="K71" s="58" t="n"/>
    </row>
    <row r="72" ht="15.75" customHeight="1" s="215">
      <c r="A72" s="51" t="n"/>
      <c r="B72" s="52" t="n">
        <v>61</v>
      </c>
      <c r="C72" s="228" t="inlineStr">
        <is>
          <t>NF-056 – Almacenamiento y consulta eficiente de correos de negocio</t>
        </is>
      </c>
      <c r="D72" s="229" t="n"/>
      <c r="E72" s="55" t="inlineStr">
        <is>
          <t>x</t>
        </is>
      </c>
      <c r="F72" s="55" t="n"/>
      <c r="G72" s="55" t="n"/>
      <c r="H72" s="56" t="n"/>
      <c r="J72" s="57" t="n"/>
      <c r="K72" s="58" t="n"/>
    </row>
    <row r="73" ht="15.75" customHeight="1" s="215">
      <c r="A73" s="51" t="n"/>
      <c r="B73" s="52" t="n">
        <v>62</v>
      </c>
      <c r="C73" s="228" t="inlineStr">
        <is>
          <t>NF-057 – Uso de bcrypt para hashing de contraseñas</t>
        </is>
      </c>
      <c r="D73" s="229" t="n"/>
      <c r="E73" s="55" t="inlineStr">
        <is>
          <t>x</t>
        </is>
      </c>
      <c r="F73" s="55" t="n"/>
      <c r="G73" s="55" t="n"/>
      <c r="H73" s="56" t="n"/>
      <c r="J73" s="57" t="n"/>
      <c r="K73" s="58" t="n"/>
    </row>
    <row r="74" ht="15.75" customHeight="1" s="215">
      <c r="A74" s="51" t="n"/>
      <c r="B74" s="52" t="n">
        <v>63</v>
      </c>
      <c r="C74" s="228" t="inlineStr">
        <is>
          <t>NF-058 – Emisión y validación de JWT (access_token y refresh_token)</t>
        </is>
      </c>
      <c r="D74" s="229" t="n"/>
      <c r="E74" s="55" t="inlineStr">
        <is>
          <t>x</t>
        </is>
      </c>
      <c r="F74" s="55" t="n"/>
      <c r="G74" s="55" t="n"/>
      <c r="H74" s="56" t="n"/>
      <c r="J74" s="57" t="n"/>
      <c r="K74" s="58" t="n"/>
    </row>
    <row r="75" ht="15.75" customHeight="1" s="215">
      <c r="A75" s="51" t="n"/>
      <c r="B75" s="52" t="n">
        <v>64</v>
      </c>
      <c r="C75" s="228" t="inlineStr">
        <is>
          <t>NF-059 – Dependencia verificar_token en rutas protegidas</t>
        </is>
      </c>
      <c r="D75" s="229" t="n"/>
      <c r="E75" s="55" t="inlineStr">
        <is>
          <t>x</t>
        </is>
      </c>
      <c r="F75" s="55" t="n"/>
      <c r="G75" s="55" t="n"/>
      <c r="H75" s="56" t="n"/>
      <c r="J75" s="57" t="n"/>
      <c r="K75" s="58" t="n"/>
    </row>
    <row r="76" ht="15.75" customHeight="1" s="215">
      <c r="A76" s="51" t="n"/>
      <c r="B76" s="52" t="n">
        <v>65</v>
      </c>
      <c r="C76" s="228" t="inlineStr">
        <is>
          <t>NF-060 – Triggers de auditoría sobre tablas críticas</t>
        </is>
      </c>
      <c r="D76" s="229" t="n"/>
      <c r="E76" s="55" t="inlineStr">
        <is>
          <t>x</t>
        </is>
      </c>
      <c r="F76" s="55" t="n"/>
      <c r="G76" s="55" t="n"/>
      <c r="H76" s="56" t="n"/>
      <c r="J76" s="57" t="n"/>
      <c r="K76" s="58" t="n"/>
    </row>
    <row r="77" ht="15.75" customHeight="1" s="215">
      <c r="A77" s="51" t="n"/>
      <c r="B77" s="52" t="n">
        <v>66</v>
      </c>
      <c r="C77" s="228" t="inlineStr">
        <is>
          <t>NF-061 – Índice idx_mails_credencial_uid en Mails</t>
        </is>
      </c>
      <c r="D77" s="229" t="n"/>
      <c r="E77" s="55" t="inlineStr">
        <is>
          <t>x</t>
        </is>
      </c>
      <c r="F77" s="55" t="n"/>
      <c r="G77" s="55" t="n"/>
      <c r="H77" s="56" t="n"/>
      <c r="J77" s="57" t="n"/>
      <c r="K77" s="58" t="n"/>
    </row>
    <row r="78" ht="15.75" customHeight="1" s="215">
      <c r="A78" s="51" t="n"/>
      <c r="B78" s="52" t="n">
        <v>67</v>
      </c>
      <c r="C78" s="228" t="inlineStr">
        <is>
          <t>NF-062 – Índice idx_mails_id_credencial_date en Mails</t>
        </is>
      </c>
      <c r="D78" s="229" t="n"/>
      <c r="E78" s="55" t="inlineStr">
        <is>
          <t>x</t>
        </is>
      </c>
      <c r="F78" s="55" t="n"/>
      <c r="G78" s="55" t="n"/>
      <c r="H78" s="56" t="n"/>
      <c r="J78" s="57" t="n"/>
      <c r="K78" s="58" t="n"/>
    </row>
    <row r="79" ht="15.75" customHeight="1" s="215">
      <c r="A79" s="51" t="n"/>
      <c r="B79" s="52" t="n">
        <v>68</v>
      </c>
      <c r="C79" s="228" t="inlineStr">
        <is>
          <t>NF-063 – Integración con pasarela Wompi (crear transacción, webhook, consultar estado)</t>
        </is>
      </c>
      <c r="D79" s="229" t="n"/>
      <c r="E79" s="55" t="inlineStr">
        <is>
          <t>x</t>
        </is>
      </c>
      <c r="F79" s="55" t="n"/>
      <c r="G79" s="55" t="n"/>
      <c r="H79" s="56" t="n"/>
      <c r="J79" s="57" t="n"/>
      <c r="K79" s="58" t="n"/>
    </row>
    <row r="80" ht="15.75" customHeight="1" s="215">
      <c r="A80" s="51" t="n"/>
      <c r="B80" s="52" t="n">
        <v>69</v>
      </c>
      <c r="C80" s="228" t="inlineStr">
        <is>
          <t>NF-064 – Validación de integridad de webhooks Wompi (checksum)</t>
        </is>
      </c>
      <c r="D80" s="229" t="n"/>
      <c r="E80" s="55" t="inlineStr">
        <is>
          <t>x</t>
        </is>
      </c>
      <c r="F80" s="55" t="n"/>
      <c r="G80" s="55" t="n"/>
      <c r="H80" s="56" t="n"/>
      <c r="J80" s="57" t="n"/>
      <c r="K80" s="58" t="n"/>
    </row>
    <row r="81" ht="15.75" customHeight="1" s="215">
      <c r="A81" s="51" t="n"/>
      <c r="B81" s="52" t="n">
        <v>70</v>
      </c>
      <c r="C81" s="228" t="inlineStr">
        <is>
          <t>NF-065 – Integración SMTP para envío de correos</t>
        </is>
      </c>
      <c r="D81" s="229" t="n"/>
      <c r="E81" s="55" t="inlineStr">
        <is>
          <t>x</t>
        </is>
      </c>
      <c r="F81" s="55" t="n"/>
      <c r="G81" s="55" t="n"/>
      <c r="H81" s="56" t="n"/>
      <c r="J81" s="57" t="n"/>
      <c r="K81" s="58" t="n"/>
    </row>
    <row r="82" ht="15.75" customHeight="1" s="215">
      <c r="A82" s="51" t="n"/>
      <c r="B82" s="52" t="n">
        <v>71</v>
      </c>
      <c r="C82" s="228" t="inlineStr">
        <is>
          <t>NF-066 – Integración IMAP para lectura de bandeja</t>
        </is>
      </c>
      <c r="D82" s="229" t="n"/>
      <c r="E82" s="55" t="inlineStr">
        <is>
          <t>x</t>
        </is>
      </c>
      <c r="F82" s="55" t="n"/>
      <c r="G82" s="55" t="n"/>
      <c r="H82" s="56" t="n"/>
      <c r="J82" s="57" t="n"/>
      <c r="K82" s="58" t="n"/>
    </row>
    <row r="83" ht="15.75" customHeight="1" s="215">
      <c r="A83" s="51" t="n"/>
      <c r="B83" s="52" t="n">
        <v>72</v>
      </c>
      <c r="C83" s="228" t="inlineStr">
        <is>
          <t>NF-067 – Integración con Cloudinary para subida de imágenes</t>
        </is>
      </c>
      <c r="D83" s="229" t="n"/>
      <c r="E83" s="55" t="inlineStr">
        <is>
          <t>x</t>
        </is>
      </c>
      <c r="F83" s="55" t="n"/>
      <c r="G83" s="55" t="n"/>
      <c r="H83" s="56" t="n"/>
      <c r="J83" s="57" t="n"/>
      <c r="K83" s="58" t="n"/>
    </row>
    <row r="84" ht="15.75" customHeight="1" s="215">
      <c r="A84" s="51" t="n"/>
      <c r="B84" s="52" t="n">
        <v>73</v>
      </c>
      <c r="C84" s="228" t="inlineStr">
        <is>
          <t>NF-068 – Uso de Leaflet o similar para mapas</t>
        </is>
      </c>
      <c r="D84" s="229" t="n"/>
      <c r="E84" s="55" t="inlineStr">
        <is>
          <t>x</t>
        </is>
      </c>
      <c r="F84" s="55" t="n"/>
      <c r="G84" s="55" t="n"/>
      <c r="H84" s="56" t="n"/>
      <c r="J84" s="57" t="n"/>
      <c r="K84" s="58" t="n"/>
    </row>
    <row r="85" ht="15.75" customHeight="1" s="215">
      <c r="A85" s="51" t="n"/>
      <c r="B85" s="52" t="n">
        <v>74</v>
      </c>
      <c r="C85" s="228" t="inlineStr">
        <is>
          <t>NF-069 – Tabla jwt_tokens con refresh_token y expiración</t>
        </is>
      </c>
      <c r="D85" s="229" t="n"/>
      <c r="E85" s="55" t="inlineStr">
        <is>
          <t>x</t>
        </is>
      </c>
      <c r="F85" s="55" t="n"/>
      <c r="G85" s="55" t="n"/>
      <c r="H85" s="56" t="n"/>
      <c r="J85" s="57" t="n"/>
      <c r="K85" s="58" t="n"/>
    </row>
    <row r="86" ht="15.75" customHeight="1" s="215">
      <c r="A86" s="51" t="n"/>
      <c r="B86" s="52" t="n">
        <v>75</v>
      </c>
      <c r="C86" s="228" t="inlineStr">
        <is>
          <t>NF-070 – Cifrado de contraseñas de correo (SMTP/IMAP) en BD</t>
        </is>
      </c>
      <c r="D86" s="229" t="n"/>
      <c r="E86" s="55" t="inlineStr">
        <is>
          <t>x</t>
        </is>
      </c>
      <c r="F86" s="55" t="n"/>
      <c r="G86" s="55" t="n"/>
      <c r="H86" s="56" t="n"/>
      <c r="J86" s="57" t="n"/>
      <c r="K86" s="58" t="n"/>
    </row>
    <row r="87" ht="15.75" customHeight="1" s="215">
      <c r="A87" s="51" t="n"/>
      <c r="B87" s="52" t="n">
        <v>76</v>
      </c>
      <c r="C87" s="228" t="inlineStr">
        <is>
          <t>NF-071 – Tarea programada de recordatorios (timer_reserv)</t>
        </is>
      </c>
      <c r="D87" s="229" t="n"/>
      <c r="E87" s="55" t="inlineStr">
        <is>
          <t>x</t>
        </is>
      </c>
      <c r="F87" s="55" t="n"/>
      <c r="G87" s="55" t="n"/>
      <c r="H87" s="56" t="n"/>
      <c r="J87" s="57" t="n"/>
      <c r="K87" s="58" t="n"/>
    </row>
    <row r="88" ht="15.75" customHeight="1" s="215">
      <c r="A88" s="51" t="n"/>
      <c r="B88" s="52" t="n">
        <v>77</v>
      </c>
      <c r="C88" s="228" t="inlineStr">
        <is>
          <t>NF-072 – Tabla Auditoria con registro JSONB</t>
        </is>
      </c>
      <c r="D88" s="229" t="n"/>
      <c r="E88" s="55" t="inlineStr">
        <is>
          <t>x</t>
        </is>
      </c>
      <c r="F88" s="55" t="n"/>
      <c r="G88" s="55" t="n"/>
      <c r="H88" s="56" t="n"/>
      <c r="J88" s="57" t="n"/>
      <c r="K88" s="58" t="n"/>
    </row>
    <row r="89" ht="15.75" customHeight="1" s="215">
      <c r="A89" s="51" t="n"/>
      <c r="B89" s="52" t="n">
        <v>78</v>
      </c>
      <c r="C89" s="228" t="inlineStr">
        <is>
          <t>NF-073 – Función auditoria_insert_trigger para INSERT</t>
        </is>
      </c>
      <c r="D89" s="229" t="n"/>
      <c r="E89" s="55" t="inlineStr">
        <is>
          <t>x</t>
        </is>
      </c>
      <c r="F89" s="55" t="n"/>
      <c r="G89" s="55" t="n"/>
      <c r="H89" s="56" t="n"/>
      <c r="J89" s="57" t="n"/>
      <c r="K89" s="58" t="n"/>
    </row>
    <row r="90" ht="15.75" customHeight="1" s="215">
      <c r="A90" s="51" t="n"/>
      <c r="B90" s="52" t="n">
        <v>79</v>
      </c>
      <c r="C90" s="228" t="inlineStr">
        <is>
          <t>NF-074 – Función auditoria_update_trigger para UPDATE</t>
        </is>
      </c>
      <c r="D90" s="229" t="n"/>
      <c r="E90" s="55" t="inlineStr">
        <is>
          <t>x</t>
        </is>
      </c>
      <c r="F90" s="55" t="n"/>
      <c r="G90" s="55" t="n"/>
      <c r="H90" s="56" t="n"/>
      <c r="J90" s="57" t="n"/>
      <c r="K90" s="58" t="n"/>
    </row>
    <row r="91" ht="15.75" customHeight="1" s="215">
      <c r="A91" s="51" t="n"/>
      <c r="B91" s="52" t="n">
        <v>80</v>
      </c>
      <c r="C91" s="228" t="inlineStr">
        <is>
          <t>NF-075 – Función auditoria_delete_trigger para DELETE</t>
        </is>
      </c>
      <c r="D91" s="229" t="n"/>
      <c r="E91" s="55" t="inlineStr">
        <is>
          <t>x</t>
        </is>
      </c>
      <c r="F91" s="55" t="n"/>
      <c r="G91" s="55" t="n"/>
      <c r="H91" s="56" t="n"/>
      <c r="J91" s="57" t="n"/>
      <c r="K91" s="58" t="n"/>
    </row>
    <row r="92" ht="15.75" customHeight="1" s="215">
      <c r="A92" s="51" t="n"/>
      <c r="B92" s="52" t="n">
        <v>81</v>
      </c>
      <c r="C92" s="228" t="inlineStr">
        <is>
          <t>NF-076 – CORS configurado en backend</t>
        </is>
      </c>
      <c r="D92" s="229" t="n"/>
      <c r="E92" s="55" t="inlineStr">
        <is>
          <t>x</t>
        </is>
      </c>
      <c r="F92" s="55" t="n"/>
      <c r="G92" s="55" t="n"/>
      <c r="H92" s="56" t="n"/>
      <c r="J92" s="57" t="n"/>
      <c r="K92" s="58" t="n"/>
    </row>
    <row r="93" ht="15.75" customHeight="1" s="215">
      <c r="A93" s="51" t="n"/>
      <c r="B93" s="52" t="n">
        <v>82</v>
      </c>
      <c r="C93" s="228" t="inlineStr">
        <is>
          <t>NF-077 – Conexión a base de datos PostgreSQL (DATABASE_URL)</t>
        </is>
      </c>
      <c r="D93" s="229" t="n"/>
      <c r="E93" s="55" t="inlineStr">
        <is>
          <t>x</t>
        </is>
      </c>
      <c r="F93" s="55" t="n"/>
      <c r="G93" s="55" t="n"/>
      <c r="H93" s="56" t="n"/>
      <c r="J93" s="57" t="n"/>
      <c r="K93" s="58" t="n"/>
    </row>
    <row r="94" ht="15.75" customHeight="1" s="215">
      <c r="A94" s="51" t="n"/>
      <c r="B94" s="52" t="n">
        <v>83</v>
      </c>
      <c r="C94" s="228" t="inlineStr">
        <is>
          <t>NF-078 – Frontend React con enrutado (React Router)</t>
        </is>
      </c>
      <c r="D94" s="229" t="n"/>
      <c r="E94" s="55" t="inlineStr">
        <is>
          <t>x</t>
        </is>
      </c>
      <c r="F94" s="55" t="n"/>
      <c r="G94" s="55" t="n"/>
      <c r="H94" s="56" t="n"/>
      <c r="J94" s="57" t="n"/>
      <c r="K94" s="58" t="n"/>
    </row>
    <row r="95" ht="15.75" customHeight="1" s="215">
      <c r="A95" s="51" t="n"/>
      <c r="B95" s="52" t="n">
        <v>84</v>
      </c>
      <c r="C95" s="228" t="inlineStr">
        <is>
          <t>NF-079 – Backend FastAPI con enrutado por módulos</t>
        </is>
      </c>
      <c r="D95" s="229" t="n"/>
      <c r="E95" s="55" t="inlineStr">
        <is>
          <t>x</t>
        </is>
      </c>
      <c r="F95" s="55" t="n"/>
      <c r="G95" s="55" t="n"/>
      <c r="H95" s="56" t="n"/>
      <c r="J95" s="57" t="n"/>
      <c r="K95" s="58" t="n"/>
    </row>
    <row r="96" ht="15.75" customHeight="1" s="215">
      <c r="A96" s="51" t="n"/>
      <c r="B96" s="52" t="n">
        <v>85</v>
      </c>
      <c r="C96" s="228" t="inlineStr">
        <is>
          <t>NF-080 – ToastProvider/ToastContainer como sistema global de notificaciones</t>
        </is>
      </c>
      <c r="D96" s="229" t="n"/>
      <c r="E96" s="55" t="inlineStr">
        <is>
          <t>x</t>
        </is>
      </c>
      <c r="F96" s="55" t="n"/>
      <c r="G96" s="55" t="n"/>
      <c r="H96" s="56" t="n"/>
      <c r="J96" s="57" t="n"/>
      <c r="K96" s="58" t="n"/>
    </row>
    <row r="97" ht="15.75" customHeight="1" s="215">
      <c r="A97" s="51" t="n"/>
      <c r="B97" s="52" t="n">
        <v>86</v>
      </c>
      <c r="C97" s="228" t="inlineStr">
        <is>
          <t>NF-081 – Variables CSS para tema claro y oscuro (.dark)</t>
        </is>
      </c>
      <c r="D97" s="229" t="n"/>
      <c r="E97" s="55" t="inlineStr">
        <is>
          <t>x</t>
        </is>
      </c>
      <c r="F97" s="55" t="n"/>
      <c r="G97" s="55" t="n"/>
      <c r="H97" s="56" t="n"/>
      <c r="J97" s="57" t="n"/>
      <c r="K97" s="58" t="n"/>
    </row>
    <row r="98" ht="15.75" customHeight="1" s="215">
      <c r="A98" s="51" t="n"/>
      <c r="B98" s="52" t="n">
        <v>87</v>
      </c>
      <c r="C98" s="228" t="inlineStr">
        <is>
          <t>NF-082 – ProtectedRoute con verificación de rol</t>
        </is>
      </c>
      <c r="D98" s="229" t="n"/>
      <c r="E98" s="55" t="inlineStr">
        <is>
          <t>x</t>
        </is>
      </c>
      <c r="F98" s="55" t="n"/>
      <c r="G98" s="55" t="n"/>
      <c r="H98" s="56" t="n"/>
      <c r="J98" s="57" t="n"/>
      <c r="K98" s="58" t="n"/>
    </row>
    <row r="99" ht="15.75" customHeight="1" s="215">
      <c r="A99" s="51" t="n"/>
      <c r="B99" s="52" t="n">
        <v>88</v>
      </c>
      <c r="C99" s="228" t="inlineStr">
        <is>
          <t>NF-083 – Almacenamiento de tokens en localStorage (frontend)</t>
        </is>
      </c>
      <c r="D99" s="229" t="n"/>
      <c r="E99" s="55" t="inlineStr">
        <is>
          <t>x</t>
        </is>
      </c>
      <c r="F99" s="55" t="n"/>
      <c r="G99" s="55" t="n"/>
      <c r="H99" s="56" t="n"/>
      <c r="J99" s="57" t="n"/>
      <c r="K99" s="58" t="n"/>
    </row>
    <row r="100" ht="15.75" customHeight="1" s="215">
      <c r="A100" s="51" t="n"/>
      <c r="B100" s="52" t="n">
        <v>89</v>
      </c>
      <c r="C100" s="228" t="inlineStr">
        <is>
          <t>NF-084 – Trigger validar_admin_tiene_restaurante (nit NOT NULL para administrador)</t>
        </is>
      </c>
      <c r="D100" s="229" t="n"/>
      <c r="E100" s="55" t="inlineStr">
        <is>
          <t>x</t>
        </is>
      </c>
      <c r="F100" s="55" t="n"/>
      <c r="G100" s="55" t="n"/>
      <c r="H100" s="56" t="n"/>
      <c r="J100" s="57" t="n"/>
      <c r="K100" s="58" t="n"/>
    </row>
    <row r="101" ht="15.75" customHeight="1" s="215">
      <c r="A101" s="51" t="n"/>
      <c r="B101" s="52" t="n">
        <v>90</v>
      </c>
      <c r="C101" s="228" t="inlineStr">
        <is>
          <t>NF-085 – Scripts de migración en scripts/migraciones</t>
        </is>
      </c>
      <c r="D101" s="229" t="n"/>
      <c r="E101" s="55" t="inlineStr">
        <is>
          <t>x</t>
        </is>
      </c>
      <c r="F101" s="55" t="n"/>
      <c r="G101" s="55" t="n"/>
      <c r="H101" s="56" t="n"/>
      <c r="J101" s="57" t="n"/>
      <c r="K101" s="58" t="n"/>
    </row>
    <row r="102" ht="15.75" customHeight="1" s="215">
      <c r="A102" s="51" t="n"/>
      <c r="B102" s="52" t="n">
        <v>91</v>
      </c>
      <c r="C102" s="228" t="inlineStr">
        <is>
          <t>NF-086 – Rate limit o control en endpoint /contactanos</t>
        </is>
      </c>
      <c r="D102" s="229" t="n"/>
      <c r="E102" s="55" t="n"/>
      <c r="F102" s="55" t="n"/>
      <c r="G102" s="55" t="inlineStr">
        <is>
          <t>x</t>
        </is>
      </c>
      <c r="H102" s="56" t="inlineStr">
        <is>
          <t>No implementado.</t>
        </is>
      </c>
      <c r="J102" s="57" t="n"/>
      <c r="K102" s="58" t="n"/>
    </row>
    <row r="103" ht="15.75" customHeight="1" s="215">
      <c r="A103" s="51" t="n"/>
      <c r="B103" s="52" t="n">
        <v>92</v>
      </c>
      <c r="C103" s="228" t="inlineStr">
        <is>
          <t>NF-087 – Consentimiento de archivo de correos (consentimiento_archivo en SMTP_config/IMAP_config)</t>
        </is>
      </c>
      <c r="D103" s="229" t="n"/>
      <c r="E103" s="55" t="inlineStr">
        <is>
          <t>x</t>
        </is>
      </c>
      <c r="F103" s="55" t="n"/>
      <c r="G103" s="55" t="n"/>
      <c r="H103" s="56" t="n"/>
      <c r="J103" s="57" t="n"/>
      <c r="K103" s="58" t="n"/>
    </row>
    <row r="104" ht="15.75" customHeight="1" s="215">
      <c r="A104" s="51" t="n"/>
      <c r="B104" s="52" t="n">
        <v>93</v>
      </c>
      <c r="C104" s="228" t="inlineStr">
        <is>
          <t>NF-088 – UNIQUE refresh_token en jwt_tokens</t>
        </is>
      </c>
      <c r="D104" s="229" t="n"/>
      <c r="E104" s="55" t="inlineStr">
        <is>
          <t>x</t>
        </is>
      </c>
      <c r="F104" s="55" t="n"/>
      <c r="G104" s="55" t="n"/>
      <c r="H104" s="56" t="n"/>
      <c r="J104" s="57" t="n"/>
      <c r="K104" s="58" t="n"/>
    </row>
    <row r="105" ht="15.75" customHeight="1" s="215">
      <c r="A105" s="51" t="n"/>
      <c r="B105" s="52" t="n">
        <v>94</v>
      </c>
      <c r="C105" s="228" t="inlineStr">
        <is>
          <t>NF-089 – Password_Reset_Codes para recuperación de contraseña (tabla y lógica si existe)</t>
        </is>
      </c>
      <c r="D105" s="229" t="n"/>
      <c r="E105" s="55" t="inlineStr">
        <is>
          <t>x</t>
        </is>
      </c>
      <c r="F105" s="55" t="n"/>
      <c r="G105" s="55" t="n"/>
      <c r="H105" s="56" t="n"/>
      <c r="J105" s="57" t="n"/>
      <c r="K105" s="58" t="n"/>
    </row>
    <row r="106" ht="15.75" customHeight="1" s="215">
      <c r="A106" s="51" t="n"/>
      <c r="B106" s="52" t="n">
        <v>95</v>
      </c>
      <c r="C106" s="228" t="inlineStr">
        <is>
          <t>NF-090 – Framer Motion para animaciones en frontend</t>
        </is>
      </c>
      <c r="D106" s="229" t="n"/>
      <c r="E106" s="55" t="inlineStr">
        <is>
          <t>x</t>
        </is>
      </c>
      <c r="F106" s="55" t="n"/>
      <c r="G106" s="55" t="n"/>
      <c r="H106" s="56" t="n"/>
      <c r="J106" s="57" t="n"/>
      <c r="K106" s="58" t="n"/>
    </row>
    <row r="107" ht="15.75" customHeight="1" s="215">
      <c r="A107" s="51" t="n"/>
      <c r="B107" s="52" t="n">
        <v>96</v>
      </c>
      <c r="C107" s="228" t="inlineStr">
        <is>
          <t>NF-091 – Cookie HttpOnly para refresh token (no accesible desde JavaScript)</t>
        </is>
      </c>
      <c r="D107" s="229" t="n"/>
      <c r="E107" s="55" t="inlineStr">
        <is>
          <t>x</t>
        </is>
      </c>
      <c r="F107" s="55" t="n"/>
      <c r="G107" s="55" t="n"/>
      <c r="H107" s="56" t="n"/>
      <c r="J107" s="57" t="n"/>
      <c r="K107" s="58" t="n"/>
    </row>
    <row r="108" ht="15.75" customHeight="1" s="215">
      <c r="A108" s="51" t="n"/>
      <c r="B108" s="52" t="n">
        <v>97</v>
      </c>
      <c r="C108" s="228" t="inlineStr">
        <is>
          <t>NF-092 – Cookie SameSite=strict para refresh token</t>
        </is>
      </c>
      <c r="D108" s="229" t="n"/>
      <c r="E108" s="55" t="inlineStr">
        <is>
          <t>x</t>
        </is>
      </c>
      <c r="F108" s="55" t="n"/>
      <c r="G108" s="55" t="n"/>
      <c r="H108" s="56" t="n"/>
      <c r="J108" s="57" t="n"/>
      <c r="K108" s="58" t="n"/>
    </row>
    <row r="109" ht="15.75" customHeight="1" s="215">
      <c r="A109" s="51" t="n"/>
      <c r="B109" s="52" t="n">
        <v>98</v>
      </c>
      <c r="C109" s="228" t="inlineStr">
        <is>
          <t>NF-093 – Rechazo de tokens revocados en verificar_token</t>
        </is>
      </c>
      <c r="D109" s="229" t="n"/>
      <c r="E109" s="55" t="inlineStr">
        <is>
          <t>x</t>
        </is>
      </c>
      <c r="F109" s="55" t="n"/>
      <c r="G109" s="55" t="n"/>
      <c r="H109" s="56" t="n"/>
      <c r="J109" s="57" t="n"/>
      <c r="K109" s="58" t="n"/>
    </row>
    <row r="110" ht="15.75" customHeight="1" s="215">
      <c r="A110" s="51" t="n"/>
      <c r="B110" s="52" t="n">
        <v>99</v>
      </c>
      <c r="C110" s="228" t="inlineStr">
        <is>
          <t>NF-094 – Autorización por recurso: solo editar propias credenciales</t>
        </is>
      </c>
      <c r="D110" s="229" t="n"/>
      <c r="E110" s="55" t="inlineStr">
        <is>
          <t>x</t>
        </is>
      </c>
      <c r="F110" s="55" t="n"/>
      <c r="G110" s="55" t="n"/>
      <c r="H110" s="56" t="n"/>
      <c r="J110" s="57" t="n"/>
      <c r="K110" s="58" t="n"/>
    </row>
    <row r="111" ht="15.75" customHeight="1" s="215"/>
    <row r="112" ht="15.75" customHeight="1" s="215"/>
    <row r="113" ht="15.75" customHeight="1" s="215"/>
    <row r="114" ht="15.75" customHeight="1" s="215"/>
    <row r="115" ht="15.75" customHeight="1" s="215"/>
    <row r="116" ht="15.75" customHeight="1" s="215"/>
    <row r="117" ht="15.75" customHeight="1" s="215"/>
    <row r="118" ht="15.75" customHeight="1" s="215"/>
    <row r="119" ht="15.75" customHeight="1" s="215"/>
    <row r="120" ht="15.75" customHeight="1" s="215"/>
    <row r="121" ht="15.75" customHeight="1" s="215"/>
    <row r="122" ht="15.75" customHeight="1" s="215"/>
    <row r="123" ht="15.75" customHeight="1" s="215"/>
    <row r="124" ht="15.75" customHeight="1" s="215"/>
    <row r="125" ht="15.75" customHeight="1" s="215"/>
    <row r="126" ht="15.75" customHeight="1" s="215"/>
    <row r="127" ht="15.75" customHeight="1" s="215"/>
    <row r="128" ht="15.75" customHeight="1" s="215"/>
    <row r="129" ht="15.75" customHeight="1" s="215"/>
    <row r="130" ht="15.75" customHeight="1" s="215"/>
    <row r="131" ht="15.75" customHeight="1" s="215"/>
    <row r="132" ht="15.75" customHeight="1" s="215"/>
    <row r="133" ht="15.75" customHeight="1" s="215"/>
    <row r="134" ht="15.75" customHeight="1" s="215"/>
    <row r="135" ht="15.75" customHeight="1" s="215"/>
    <row r="136" ht="15.75" customHeight="1" s="215"/>
    <row r="137" ht="15.75" customHeight="1" s="215"/>
    <row r="138" ht="15.75" customHeight="1" s="215"/>
    <row r="139" ht="15.75" customHeight="1" s="215"/>
    <row r="140" ht="15.75" customHeight="1" s="215"/>
    <row r="141" ht="15.75" customHeight="1" s="215"/>
    <row r="142" ht="15.75" customHeight="1" s="215"/>
    <row r="143" ht="15.75" customHeight="1" s="215"/>
    <row r="144" ht="15.75" customHeight="1" s="215"/>
    <row r="145" ht="15.75" customHeight="1" s="215"/>
    <row r="146" ht="15.75" customHeight="1" s="215"/>
    <row r="147" ht="15.75" customHeight="1" s="215"/>
    <row r="148" ht="15.75" customHeight="1" s="215"/>
    <row r="149" ht="15.75" customHeight="1" s="215"/>
    <row r="150" ht="15.75" customHeight="1" s="215"/>
    <row r="151" ht="15.75" customHeight="1" s="215"/>
    <row r="152" ht="15.75" customHeight="1" s="215"/>
    <row r="153" ht="15.75" customHeight="1" s="215"/>
    <row r="154" ht="15.75" customHeight="1" s="215"/>
    <row r="155" ht="15.75" customHeight="1" s="215"/>
    <row r="156" ht="15.75" customHeight="1" s="215"/>
    <row r="157" ht="15.75" customHeight="1" s="215"/>
    <row r="158" ht="15.75" customHeight="1" s="215"/>
    <row r="159" ht="15.75" customHeight="1" s="215"/>
    <row r="160" ht="15.75" customHeight="1" s="215"/>
    <row r="161" ht="15.75" customHeight="1" s="215"/>
    <row r="162" ht="15.75" customHeight="1" s="215"/>
    <row r="163" ht="15.75" customHeight="1" s="215"/>
    <row r="164" ht="15.75" customHeight="1" s="215"/>
    <row r="165" ht="15.75" customHeight="1" s="215"/>
    <row r="166" ht="15.75" customHeight="1" s="215"/>
    <row r="167" ht="15.75" customHeight="1" s="215"/>
    <row r="168" ht="15.75" customHeight="1" s="215"/>
    <row r="169" ht="15.75" customHeight="1" s="215"/>
    <row r="170" ht="15.75" customHeight="1" s="215"/>
    <row r="171" ht="15.75" customHeight="1" s="215"/>
    <row r="172" ht="15.75" customHeight="1" s="215"/>
    <row r="173" ht="15.75" customHeight="1" s="215"/>
    <row r="174" ht="15.75" customHeight="1" s="215"/>
    <row r="175" ht="15.75" customHeight="1" s="215"/>
    <row r="176" ht="15.75" customHeight="1" s="215"/>
    <row r="177" ht="15.75" customHeight="1" s="215"/>
    <row r="178" ht="15.75" customHeight="1" s="215"/>
    <row r="179" ht="15.75" customHeight="1" s="215"/>
    <row r="180" ht="15.75" customHeight="1" s="215"/>
    <row r="181" ht="15.75" customHeight="1" s="215"/>
    <row r="182" ht="15.75" customHeight="1" s="215"/>
    <row r="183" ht="15.75" customHeight="1" s="215"/>
    <row r="184" ht="15.75" customHeight="1" s="215"/>
    <row r="185" ht="15.75" customHeight="1" s="215"/>
    <row r="186" ht="15.75" customHeight="1" s="215"/>
    <row r="187" ht="15.75" customHeight="1" s="215"/>
    <row r="188" ht="15.75" customHeight="1" s="215"/>
    <row r="189" ht="15.75" customHeight="1" s="215"/>
    <row r="190" ht="15.75" customHeight="1" s="215"/>
    <row r="191" ht="15.75" customHeight="1" s="215"/>
    <row r="192" ht="15.75" customHeight="1" s="215"/>
    <row r="193" ht="15.75" customHeight="1" s="215"/>
    <row r="194" ht="15.75" customHeight="1" s="215"/>
    <row r="195" ht="15.75" customHeight="1" s="215"/>
    <row r="196" ht="15.75" customHeight="1" s="215"/>
    <row r="197" ht="15.75" customHeight="1" s="215"/>
    <row r="198" ht="15.75" customHeight="1" s="215"/>
    <row r="199" ht="15.75" customHeight="1" s="215"/>
    <row r="200" ht="15.75" customHeight="1" s="215"/>
    <row r="201" ht="15.75" customHeight="1" s="215"/>
    <row r="202" ht="15.75" customHeight="1" s="215"/>
    <row r="203" ht="15.75" customHeight="1" s="215"/>
    <row r="204" ht="15.75" customHeight="1" s="215"/>
    <row r="205" ht="15.75" customHeight="1" s="215"/>
    <row r="206" ht="15.75" customHeight="1" s="215"/>
    <row r="207" ht="15.75" customHeight="1" s="215"/>
    <row r="208" ht="15.75" customHeight="1" s="215"/>
    <row r="209" ht="15.75" customHeight="1" s="215"/>
    <row r="210" ht="15.75" customHeight="1" s="215"/>
    <row r="211" ht="15.75" customHeight="1" s="215"/>
    <row r="212" ht="15.75" customHeight="1" s="215"/>
    <row r="213" ht="15.75" customHeight="1" s="215"/>
    <row r="214" ht="15.75" customHeight="1" s="215"/>
    <row r="215" ht="15.75" customHeight="1" s="215"/>
    <row r="216" ht="15.75" customHeight="1" s="215"/>
    <row r="217" ht="15.75" customHeight="1" s="215"/>
    <row r="218" ht="15.75" customHeight="1" s="215"/>
    <row r="219" ht="15.75" customHeight="1" s="215"/>
    <row r="220" ht="15.75" customHeight="1" s="215"/>
    <row r="221" ht="15.75" customHeight="1" s="215"/>
    <row r="222" ht="15.75" customHeight="1" s="215"/>
    <row r="223" ht="15.75" customHeight="1" s="215"/>
    <row r="224" ht="15.75" customHeight="1" s="215"/>
    <row r="225" ht="15.75" customHeight="1" s="215"/>
    <row r="226" ht="15.75" customHeight="1" s="215"/>
    <row r="227" ht="15.75" customHeight="1" s="215"/>
    <row r="228" ht="15.75" customHeight="1" s="215"/>
    <row r="229" ht="15.75" customHeight="1" s="215"/>
    <row r="230" ht="15.75" customHeight="1" s="215"/>
    <row r="231" ht="15.75" customHeight="1" s="215"/>
    <row r="232" ht="15.75" customHeight="1" s="215"/>
    <row r="233" ht="15.75" customHeight="1" s="215"/>
    <row r="234" ht="15.75" customHeight="1" s="215"/>
    <row r="235" ht="15.75" customHeight="1" s="215"/>
    <row r="236" ht="15.75" customHeight="1" s="215"/>
    <row r="237" ht="15.75" customHeight="1" s="215"/>
    <row r="238" ht="15.75" customHeight="1" s="215"/>
    <row r="239" ht="15.75" customHeight="1" s="215"/>
    <row r="240" ht="15.75" customHeight="1" s="215"/>
    <row r="241" ht="15.75" customHeight="1" s="215"/>
    <row r="242" ht="15.75" customHeight="1" s="215"/>
    <row r="243" ht="15.75" customHeight="1" s="215"/>
    <row r="244" ht="15.75" customHeight="1" s="215"/>
    <row r="245" ht="15.75" customHeight="1" s="215"/>
    <row r="246" ht="15.75" customHeight="1" s="215"/>
    <row r="247" ht="15.75" customHeight="1" s="215"/>
    <row r="248" ht="15.75" customHeight="1" s="215"/>
    <row r="249" ht="15.75" customHeight="1" s="215"/>
    <row r="250" ht="15.75" customHeight="1" s="215"/>
    <row r="251" ht="15.75" customHeight="1" s="215"/>
    <row r="252" ht="15.75" customHeight="1" s="215"/>
    <row r="253" ht="15.75" customHeight="1" s="215"/>
    <row r="254" ht="15.75" customHeight="1" s="215"/>
    <row r="255" ht="15.75" customHeight="1" s="215"/>
    <row r="256" ht="15.75" customHeight="1" s="215"/>
    <row r="257" ht="15.75" customHeight="1" s="215"/>
    <row r="258" ht="15.75" customHeight="1" s="215"/>
    <row r="259" ht="15.75" customHeight="1" s="215"/>
    <row r="260" ht="15.75" customHeight="1" s="215"/>
    <row r="261" ht="15.75" customHeight="1" s="215"/>
    <row r="262" ht="15.75" customHeight="1" s="215"/>
    <row r="263" ht="15.75" customHeight="1" s="215"/>
    <row r="264" ht="15.75" customHeight="1" s="215"/>
    <row r="265" ht="15.75" customHeight="1" s="215"/>
    <row r="266" ht="15.75" customHeight="1" s="215"/>
    <row r="267" ht="15.75" customHeight="1" s="215"/>
    <row r="268" ht="15.75" customHeight="1" s="215"/>
    <row r="269" ht="15.75" customHeight="1" s="215"/>
    <row r="270" ht="15.75" customHeight="1" s="215"/>
    <row r="271" ht="15.75" customHeight="1" s="215"/>
    <row r="272" ht="15.75" customHeight="1" s="215"/>
    <row r="273" ht="15.75" customHeight="1" s="215"/>
    <row r="274" ht="15.75" customHeight="1" s="215"/>
    <row r="275" ht="15.75" customHeight="1" s="215"/>
    <row r="276" ht="15.75" customHeight="1" s="215"/>
    <row r="277" ht="15.75" customHeight="1" s="215"/>
    <row r="278" ht="15.75" customHeight="1" s="215"/>
    <row r="279" ht="15.75" customHeight="1" s="215"/>
    <row r="280" ht="15.75" customHeight="1" s="215"/>
    <row r="281" ht="15.75" customHeight="1" s="215"/>
    <row r="282" ht="15.75" customHeight="1" s="215"/>
    <row r="283" ht="15.75" customHeight="1" s="215"/>
    <row r="284" ht="15.75" customHeight="1" s="215"/>
    <row r="285" ht="15.75" customHeight="1" s="215"/>
    <row r="286" ht="15.75" customHeight="1" s="215"/>
    <row r="287" ht="15.75" customHeight="1" s="215"/>
    <row r="288" ht="15.75" customHeight="1" s="215"/>
    <row r="289" ht="15.75" customHeight="1" s="215"/>
    <row r="290" ht="15.75" customHeight="1" s="215"/>
    <row r="291" ht="15.75" customHeight="1" s="215"/>
    <row r="292" ht="15.75" customHeight="1" s="215"/>
    <row r="293" ht="15.75" customHeight="1" s="215"/>
    <row r="294" ht="15.75" customHeight="1" s="215"/>
    <row r="295" ht="15.75" customHeight="1" s="215"/>
    <row r="296" ht="15.75" customHeight="1" s="215"/>
    <row r="297" ht="15.75" customHeight="1" s="215"/>
    <row r="298" ht="15.75" customHeight="1" s="215"/>
    <row r="299" ht="15.75" customHeight="1" s="215"/>
    <row r="300" ht="15.75" customHeight="1" s="215"/>
    <row r="301" ht="15.75" customHeight="1" s="215"/>
    <row r="302" ht="15.75" customHeight="1" s="215"/>
    <row r="303" ht="15.75" customHeight="1" s="215"/>
    <row r="304" ht="15.75" customHeight="1" s="215"/>
    <row r="305" ht="15.75" customHeight="1" s="215"/>
    <row r="306" ht="15.75" customHeight="1" s="215"/>
    <row r="307" ht="15.75" customHeight="1" s="215"/>
    <row r="308" ht="15.75" customHeight="1" s="215"/>
    <row r="309" ht="15.75" customHeight="1" s="215"/>
    <row r="310" ht="15.75" customHeight="1" s="215"/>
    <row r="311" ht="15.75" customHeight="1" s="215"/>
    <row r="312" ht="15.75" customHeight="1" s="215"/>
    <row r="313" ht="15.75" customHeight="1" s="215"/>
    <row r="314" ht="15.75" customHeight="1" s="215"/>
    <row r="315" ht="15.75" customHeight="1" s="215"/>
    <row r="316" ht="15.75" customHeight="1" s="215"/>
    <row r="317" ht="15.75" customHeight="1" s="215"/>
    <row r="318" ht="15.75" customHeight="1" s="215"/>
    <row r="319" ht="15.75" customHeight="1" s="215"/>
    <row r="320" ht="15.75" customHeight="1" s="215"/>
    <row r="321" ht="15.75" customHeight="1" s="215"/>
    <row r="322" ht="15.75" customHeight="1" s="215"/>
    <row r="323" ht="15.75" customHeight="1" s="215"/>
    <row r="324" ht="15.75" customHeight="1" s="215"/>
    <row r="325" ht="15.75" customHeight="1" s="215"/>
    <row r="326" ht="15.75" customHeight="1" s="215"/>
    <row r="327" ht="15.75" customHeight="1" s="215"/>
    <row r="328" ht="15.75" customHeight="1" s="215"/>
    <row r="329" ht="15.75" customHeight="1" s="215"/>
    <row r="330" ht="15.75" customHeight="1" s="215"/>
    <row r="331" ht="15.75" customHeight="1" s="215"/>
    <row r="332" ht="15.75" customHeight="1" s="215"/>
    <row r="333" ht="15.75" customHeight="1" s="215"/>
    <row r="334" ht="15.75" customHeight="1" s="215"/>
    <row r="335" ht="15.75" customHeight="1" s="215"/>
    <row r="336" ht="15.75" customHeight="1" s="215"/>
    <row r="337" ht="15.75" customHeight="1" s="215"/>
    <row r="338" ht="15.75" customHeight="1" s="215"/>
    <row r="339" ht="15.75" customHeight="1" s="215"/>
    <row r="340" ht="15.75" customHeight="1" s="215"/>
    <row r="341" ht="15.75" customHeight="1" s="215"/>
    <row r="342" ht="15.75" customHeight="1" s="215"/>
    <row r="343" ht="15.75" customHeight="1" s="215"/>
    <row r="344" ht="15.75" customHeight="1" s="215"/>
    <row r="345" ht="15.75" customHeight="1" s="215"/>
    <row r="346" ht="15.75" customHeight="1" s="215"/>
    <row r="347" ht="15.75" customHeight="1" s="215"/>
    <row r="348" ht="15.75" customHeight="1" s="215"/>
    <row r="349" ht="15.75" customHeight="1" s="215"/>
    <row r="350" ht="15.75" customHeight="1" s="215"/>
    <row r="351" ht="15.75" customHeight="1" s="215"/>
    <row r="352" ht="15.75" customHeight="1" s="215"/>
    <row r="353" ht="15.75" customHeight="1" s="215"/>
    <row r="354" ht="15.75" customHeight="1" s="215"/>
    <row r="355" ht="15.75" customHeight="1" s="215"/>
    <row r="356" ht="15.75" customHeight="1" s="215"/>
    <row r="357" ht="15.75" customHeight="1" s="215"/>
    <row r="358" ht="15.75" customHeight="1" s="215"/>
    <row r="359" ht="15.75" customHeight="1" s="215"/>
    <row r="360" ht="15.75" customHeight="1" s="215"/>
    <row r="361" ht="15.75" customHeight="1" s="215"/>
    <row r="362" ht="15.75" customHeight="1" s="215"/>
    <row r="363" ht="15.75" customHeight="1" s="215"/>
    <row r="364" ht="15.75" customHeight="1" s="215"/>
    <row r="365" ht="15.75" customHeight="1" s="215"/>
    <row r="366" ht="15.75" customHeight="1" s="215"/>
    <row r="367" ht="15.75" customHeight="1" s="215"/>
    <row r="368" ht="15.75" customHeight="1" s="215"/>
    <row r="369" ht="15.75" customHeight="1" s="215"/>
    <row r="370" ht="15.75" customHeight="1" s="215"/>
    <row r="371" ht="15.75" customHeight="1" s="215"/>
    <row r="372" ht="15.75" customHeight="1" s="215"/>
    <row r="373" ht="15.75" customHeight="1" s="215"/>
    <row r="374" ht="15.75" customHeight="1" s="215"/>
    <row r="375" ht="15.75" customHeight="1" s="215"/>
    <row r="376" ht="15.75" customHeight="1" s="215"/>
    <row r="377" ht="15.75" customHeight="1" s="215"/>
    <row r="378" ht="15.75" customHeight="1" s="215"/>
    <row r="379" ht="15.75" customHeight="1" s="215"/>
    <row r="380" ht="15.75" customHeight="1" s="215"/>
    <row r="381" ht="15.75" customHeight="1" s="215"/>
    <row r="382" ht="15.75" customHeight="1" s="215"/>
    <row r="383" ht="15.75" customHeight="1" s="215"/>
    <row r="384" ht="15.75" customHeight="1" s="215"/>
    <row r="385" ht="15.75" customHeight="1" s="215"/>
    <row r="386" ht="15.75" customHeight="1" s="215"/>
    <row r="387" ht="15.75" customHeight="1" s="215"/>
    <row r="388" ht="15.75" customHeight="1" s="215"/>
    <row r="389" ht="15.75" customHeight="1" s="215"/>
    <row r="390" ht="15.75" customHeight="1" s="215"/>
    <row r="391" ht="15.75" customHeight="1" s="215"/>
    <row r="392" ht="15.75" customHeight="1" s="215"/>
    <row r="393" ht="15.75" customHeight="1" s="215"/>
    <row r="394" ht="15.75" customHeight="1" s="215"/>
    <row r="395" ht="15.75" customHeight="1" s="215"/>
    <row r="396" ht="15.75" customHeight="1" s="215"/>
    <row r="397" ht="15.75" customHeight="1" s="215"/>
    <row r="398" ht="15.75" customHeight="1" s="215"/>
    <row r="399" ht="15.75" customHeight="1" s="215"/>
    <row r="400" ht="15.75" customHeight="1" s="215"/>
    <row r="401" ht="15.75" customHeight="1" s="215"/>
    <row r="402" ht="15.75" customHeight="1" s="215"/>
    <row r="403" ht="15.75" customHeight="1" s="215"/>
    <row r="404" ht="15.75" customHeight="1" s="215"/>
    <row r="405" ht="15.75" customHeight="1" s="215"/>
    <row r="406" ht="15.75" customHeight="1" s="215"/>
    <row r="407" ht="15.75" customHeight="1" s="215"/>
    <row r="408" ht="15.75" customHeight="1" s="215"/>
    <row r="409" ht="15.75" customHeight="1" s="215"/>
    <row r="410" ht="15.75" customHeight="1" s="215"/>
    <row r="411" ht="15.75" customHeight="1" s="215"/>
    <row r="412" ht="15.75" customHeight="1" s="215"/>
    <row r="413" ht="15.75" customHeight="1" s="215"/>
    <row r="414" ht="15.75" customHeight="1" s="215"/>
    <row r="415" ht="15.75" customHeight="1" s="215"/>
    <row r="416" ht="15.75" customHeight="1" s="215"/>
    <row r="417" ht="15.75" customHeight="1" s="215"/>
    <row r="418" ht="15.75" customHeight="1" s="215"/>
    <row r="419" ht="15.75" customHeight="1" s="215"/>
    <row r="420" ht="15.75" customHeight="1" s="215"/>
    <row r="421" ht="15.75" customHeight="1" s="215"/>
    <row r="422" ht="15.75" customHeight="1" s="215"/>
    <row r="423" ht="15.75" customHeight="1" s="215"/>
    <row r="424" ht="15.75" customHeight="1" s="215"/>
    <row r="425" ht="15.75" customHeight="1" s="215"/>
    <row r="426" ht="15.75" customHeight="1" s="215"/>
    <row r="427" ht="15.75" customHeight="1" s="215"/>
    <row r="428" ht="15.75" customHeight="1" s="215"/>
    <row r="429" ht="15.75" customHeight="1" s="215"/>
    <row r="430" ht="15.75" customHeight="1" s="215"/>
    <row r="431" ht="15.75" customHeight="1" s="215"/>
    <row r="432" ht="15.75" customHeight="1" s="215"/>
    <row r="433" ht="15.75" customHeight="1" s="215"/>
    <row r="434" ht="15.75" customHeight="1" s="215"/>
    <row r="435" ht="15.75" customHeight="1" s="215"/>
    <row r="436" ht="15.75" customHeight="1" s="215"/>
    <row r="437" ht="15.75" customHeight="1" s="215"/>
    <row r="438" ht="15.75" customHeight="1" s="215"/>
    <row r="439" ht="15.75" customHeight="1" s="215"/>
    <row r="440" ht="15.75" customHeight="1" s="215"/>
    <row r="441" ht="15.75" customHeight="1" s="215"/>
    <row r="442" ht="15.75" customHeight="1" s="215"/>
    <row r="443" ht="15.75" customHeight="1" s="215"/>
    <row r="444" ht="15.75" customHeight="1" s="215"/>
    <row r="445" ht="15.75" customHeight="1" s="215"/>
    <row r="446" ht="15.75" customHeight="1" s="215"/>
    <row r="447" ht="15.75" customHeight="1" s="215"/>
    <row r="448" ht="15.75" customHeight="1" s="215"/>
    <row r="449" ht="15.75" customHeight="1" s="215"/>
    <row r="450" ht="15.75" customHeight="1" s="215"/>
    <row r="451" ht="15.75" customHeight="1" s="215"/>
    <row r="452" ht="15.75" customHeight="1" s="215"/>
    <row r="453" ht="15.75" customHeight="1" s="215"/>
    <row r="454" ht="15.75" customHeight="1" s="215"/>
    <row r="455" ht="15.75" customHeight="1" s="215"/>
    <row r="456" ht="15.75" customHeight="1" s="215"/>
    <row r="457" ht="15.75" customHeight="1" s="215"/>
    <row r="458" ht="15.75" customHeight="1" s="215"/>
    <row r="459" ht="15.75" customHeight="1" s="215"/>
    <row r="460" ht="15.75" customHeight="1" s="215"/>
    <row r="461" ht="15.75" customHeight="1" s="215"/>
    <row r="462" ht="15.75" customHeight="1" s="215"/>
    <row r="463" ht="15.75" customHeight="1" s="215"/>
    <row r="464" ht="15.75" customHeight="1" s="215"/>
    <row r="465" ht="15.75" customHeight="1" s="215"/>
    <row r="466" ht="15.75" customHeight="1" s="215"/>
    <row r="467" ht="15.75" customHeight="1" s="215"/>
    <row r="468" ht="15.75" customHeight="1" s="215"/>
    <row r="469" ht="15.75" customHeight="1" s="215"/>
    <row r="470" ht="15.75" customHeight="1" s="215"/>
    <row r="471" ht="15.75" customHeight="1" s="215"/>
    <row r="472" ht="15.75" customHeight="1" s="215"/>
    <row r="473" ht="15.75" customHeight="1" s="215"/>
    <row r="474" ht="15.75" customHeight="1" s="215"/>
    <row r="475" ht="15.75" customHeight="1" s="215"/>
    <row r="476" ht="15.75" customHeight="1" s="215"/>
    <row r="477" ht="15.75" customHeight="1" s="215"/>
    <row r="478" ht="15.75" customHeight="1" s="215"/>
    <row r="479" ht="15.75" customHeight="1" s="215"/>
    <row r="480" ht="15.75" customHeight="1" s="215"/>
    <row r="481" ht="15.75" customHeight="1" s="215"/>
    <row r="482" ht="15.75" customHeight="1" s="215"/>
    <row r="483" ht="15.75" customHeight="1" s="215"/>
    <row r="484" ht="15.75" customHeight="1" s="215"/>
    <row r="485" ht="15.75" customHeight="1" s="215"/>
    <row r="486" ht="15.75" customHeight="1" s="215"/>
    <row r="487" ht="15.75" customHeight="1" s="215"/>
    <row r="488" ht="15.75" customHeight="1" s="215"/>
    <row r="489" ht="15.75" customHeight="1" s="215"/>
    <row r="490" ht="15.75" customHeight="1" s="215"/>
    <row r="491" ht="15.75" customHeight="1" s="215"/>
    <row r="492" ht="15.75" customHeight="1" s="215"/>
    <row r="493" ht="15.75" customHeight="1" s="215"/>
    <row r="494" ht="15.75" customHeight="1" s="215"/>
    <row r="495" ht="15.75" customHeight="1" s="215"/>
    <row r="496" ht="15.75" customHeight="1" s="215"/>
    <row r="497" ht="15.75" customHeight="1" s="215"/>
    <row r="498" ht="15.75" customHeight="1" s="215"/>
    <row r="499" ht="15.75" customHeight="1" s="215"/>
    <row r="500" ht="15.75" customHeight="1" s="215"/>
    <row r="501" ht="15.75" customHeight="1" s="215"/>
    <row r="502" ht="15.75" customHeight="1" s="215"/>
    <row r="503" ht="15.75" customHeight="1" s="215"/>
    <row r="504" ht="15.75" customHeight="1" s="215"/>
    <row r="505" ht="15.75" customHeight="1" s="215"/>
    <row r="506" ht="15.75" customHeight="1" s="215"/>
    <row r="507" ht="15.75" customHeight="1" s="215"/>
    <row r="508" ht="15.75" customHeight="1" s="215"/>
    <row r="509" ht="15.75" customHeight="1" s="215"/>
    <row r="510" ht="15.75" customHeight="1" s="215"/>
    <row r="511" ht="15.75" customHeight="1" s="215"/>
    <row r="512" ht="15.75" customHeight="1" s="215"/>
    <row r="513" ht="15.75" customHeight="1" s="215"/>
    <row r="514" ht="15.75" customHeight="1" s="215"/>
    <row r="515" ht="15.75" customHeight="1" s="215"/>
    <row r="516" ht="15.75" customHeight="1" s="215"/>
    <row r="517" ht="15.75" customHeight="1" s="215"/>
    <row r="518" ht="15.75" customHeight="1" s="215"/>
    <row r="519" ht="15.75" customHeight="1" s="215"/>
    <row r="520" ht="15.75" customHeight="1" s="215"/>
    <row r="521" ht="15.75" customHeight="1" s="215"/>
    <row r="522" ht="15.75" customHeight="1" s="215"/>
    <row r="523" ht="15.75" customHeight="1" s="215"/>
    <row r="524" ht="15.75" customHeight="1" s="215"/>
    <row r="525" ht="15.75" customHeight="1" s="215"/>
    <row r="526" ht="15.75" customHeight="1" s="215"/>
    <row r="527" ht="15.75" customHeight="1" s="215"/>
    <row r="528" ht="15.75" customHeight="1" s="215"/>
    <row r="529" ht="15.75" customHeight="1" s="215"/>
    <row r="530" ht="15.75" customHeight="1" s="215"/>
    <row r="531" ht="15.75" customHeight="1" s="215"/>
    <row r="532" ht="15.75" customHeight="1" s="215"/>
    <row r="533" ht="15.75" customHeight="1" s="215"/>
    <row r="534" ht="15.75" customHeight="1" s="215"/>
    <row r="535" ht="15.75" customHeight="1" s="215"/>
    <row r="536" ht="15.75" customHeight="1" s="215"/>
    <row r="537" ht="15.75" customHeight="1" s="215"/>
    <row r="538" ht="15.75" customHeight="1" s="215"/>
    <row r="539" ht="15.75" customHeight="1" s="215"/>
    <row r="540" ht="15.75" customHeight="1" s="215"/>
    <row r="541" ht="15.75" customHeight="1" s="215"/>
    <row r="542" ht="15.75" customHeight="1" s="215"/>
    <row r="543" ht="15.75" customHeight="1" s="215"/>
    <row r="544" ht="15.75" customHeight="1" s="215"/>
    <row r="545" ht="15.75" customHeight="1" s="215"/>
    <row r="546" ht="15.75" customHeight="1" s="215"/>
    <row r="547" ht="15.75" customHeight="1" s="215"/>
    <row r="548" ht="15.75" customHeight="1" s="215"/>
    <row r="549" ht="15.75" customHeight="1" s="215"/>
    <row r="550" ht="15.75" customHeight="1" s="215"/>
    <row r="551" ht="15.75" customHeight="1" s="215"/>
    <row r="552" ht="15.75" customHeight="1" s="215"/>
    <row r="553" ht="15.75" customHeight="1" s="215"/>
    <row r="554" ht="15.75" customHeight="1" s="215"/>
    <row r="555" ht="15.75" customHeight="1" s="215"/>
    <row r="556" ht="15.75" customHeight="1" s="215"/>
    <row r="557" ht="15.75" customHeight="1" s="215"/>
    <row r="558" ht="15.75" customHeight="1" s="215"/>
    <row r="559" ht="15.75" customHeight="1" s="215"/>
    <row r="560" ht="15.75" customHeight="1" s="215"/>
    <row r="561" ht="15.75" customHeight="1" s="215"/>
    <row r="562" ht="15.75" customHeight="1" s="215"/>
    <row r="563" ht="15.75" customHeight="1" s="215"/>
    <row r="564" ht="15.75" customHeight="1" s="215"/>
    <row r="565" ht="15.75" customHeight="1" s="215"/>
    <row r="566" ht="15.75" customHeight="1" s="215"/>
    <row r="567" ht="15.75" customHeight="1" s="215"/>
    <row r="568" ht="15.75" customHeight="1" s="215"/>
    <row r="569" ht="15.75" customHeight="1" s="215"/>
    <row r="570" ht="15.75" customHeight="1" s="215"/>
    <row r="571" ht="15.75" customHeight="1" s="215"/>
    <row r="572" ht="15.75" customHeight="1" s="215"/>
    <row r="573" ht="15.75" customHeight="1" s="215"/>
    <row r="574" ht="15.75" customHeight="1" s="215"/>
    <row r="575" ht="15.75" customHeight="1" s="215"/>
    <row r="576" ht="15.75" customHeight="1" s="215"/>
    <row r="577" ht="15.75" customHeight="1" s="215"/>
    <row r="578" ht="15.75" customHeight="1" s="215"/>
    <row r="579" ht="15.75" customHeight="1" s="215"/>
    <row r="580" ht="15.75" customHeight="1" s="215"/>
    <row r="581" ht="15.75" customHeight="1" s="215"/>
    <row r="582" ht="15.75" customHeight="1" s="215"/>
    <row r="583" ht="15.75" customHeight="1" s="215"/>
    <row r="584" ht="15.75" customHeight="1" s="215"/>
    <row r="585" ht="15.75" customHeight="1" s="215"/>
    <row r="586" ht="15.75" customHeight="1" s="215"/>
    <row r="587" ht="15.75" customHeight="1" s="215"/>
    <row r="588" ht="15.75" customHeight="1" s="215"/>
    <row r="589" ht="15.75" customHeight="1" s="215"/>
    <row r="590" ht="15.75" customHeight="1" s="215"/>
    <row r="591" ht="15.75" customHeight="1" s="215"/>
    <row r="592" ht="15.75" customHeight="1" s="215"/>
    <row r="593" ht="15.75" customHeight="1" s="215"/>
    <row r="594" ht="15.75" customHeight="1" s="215"/>
    <row r="595" ht="15.75" customHeight="1" s="215"/>
    <row r="596" ht="15.75" customHeight="1" s="215"/>
    <row r="597" ht="15.75" customHeight="1" s="215"/>
    <row r="598" ht="15.75" customHeight="1" s="215"/>
    <row r="599" ht="15.75" customHeight="1" s="215"/>
    <row r="600" ht="15.75" customHeight="1" s="215"/>
    <row r="601" ht="15.75" customHeight="1" s="215"/>
    <row r="602" ht="15.75" customHeight="1" s="215"/>
    <row r="603" ht="15.75" customHeight="1" s="215"/>
    <row r="604" ht="15.75" customHeight="1" s="215"/>
    <row r="605" ht="15.75" customHeight="1" s="215"/>
    <row r="606" ht="15.75" customHeight="1" s="215"/>
    <row r="607" ht="15.75" customHeight="1" s="215"/>
    <row r="608" ht="15.75" customHeight="1" s="215"/>
    <row r="609" ht="15.75" customHeight="1" s="215"/>
    <row r="610" ht="15.75" customHeight="1" s="215"/>
    <row r="611" ht="15.75" customHeight="1" s="215"/>
    <row r="612" ht="15.75" customHeight="1" s="215"/>
    <row r="613" ht="15.75" customHeight="1" s="215"/>
    <row r="614" ht="15.75" customHeight="1" s="215"/>
    <row r="615" ht="15.75" customHeight="1" s="215"/>
    <row r="616" ht="15.75" customHeight="1" s="215"/>
    <row r="617" ht="15.75" customHeight="1" s="215"/>
    <row r="618" ht="15.75" customHeight="1" s="215"/>
    <row r="619" ht="15.75" customHeight="1" s="215"/>
    <row r="620" ht="15.75" customHeight="1" s="215"/>
    <row r="621" ht="15.75" customHeight="1" s="215"/>
    <row r="622" ht="15.75" customHeight="1" s="215"/>
    <row r="623" ht="15.75" customHeight="1" s="215"/>
    <row r="624" ht="15.75" customHeight="1" s="215"/>
    <row r="625" ht="15.75" customHeight="1" s="215"/>
    <row r="626" ht="15.75" customHeight="1" s="215"/>
    <row r="627" ht="15.75" customHeight="1" s="215"/>
    <row r="628" ht="15.75" customHeight="1" s="215"/>
    <row r="629" ht="15.75" customHeight="1" s="215"/>
    <row r="630" ht="15.75" customHeight="1" s="215"/>
    <row r="631" ht="15.75" customHeight="1" s="215"/>
    <row r="632" ht="15.75" customHeight="1" s="215"/>
    <row r="633" ht="15.75" customHeight="1" s="215"/>
    <row r="634" ht="15.75" customHeight="1" s="215"/>
    <row r="635" ht="15.75" customHeight="1" s="215"/>
    <row r="636" ht="15.75" customHeight="1" s="215"/>
    <row r="637" ht="15.75" customHeight="1" s="215"/>
    <row r="638" ht="15.75" customHeight="1" s="215"/>
    <row r="639" ht="15.75" customHeight="1" s="215"/>
    <row r="640" ht="15.75" customHeight="1" s="215"/>
    <row r="641" ht="15.75" customHeight="1" s="215"/>
    <row r="642" ht="15.75" customHeight="1" s="215"/>
    <row r="643" ht="15.75" customHeight="1" s="215"/>
    <row r="644" ht="15.75" customHeight="1" s="215"/>
    <row r="645" ht="15.75" customHeight="1" s="215"/>
    <row r="646" ht="15.75" customHeight="1" s="215"/>
    <row r="647" ht="15.75" customHeight="1" s="215"/>
    <row r="648" ht="15.75" customHeight="1" s="215"/>
    <row r="649" ht="15.75" customHeight="1" s="215"/>
    <row r="650" ht="15.75" customHeight="1" s="215"/>
    <row r="651" ht="15.75" customHeight="1" s="215"/>
    <row r="652" ht="15.75" customHeight="1" s="215"/>
    <row r="653" ht="15.75" customHeight="1" s="215"/>
    <row r="654" ht="15.75" customHeight="1" s="215"/>
    <row r="655" ht="15.75" customHeight="1" s="215"/>
    <row r="656" ht="15.75" customHeight="1" s="215"/>
    <row r="657" ht="15.75" customHeight="1" s="215"/>
    <row r="658" ht="15.75" customHeight="1" s="215"/>
    <row r="659" ht="15.75" customHeight="1" s="215"/>
    <row r="660" ht="15.75" customHeight="1" s="215"/>
    <row r="661" ht="15.75" customHeight="1" s="215"/>
    <row r="662" ht="15.75" customHeight="1" s="215"/>
    <row r="663" ht="15.75" customHeight="1" s="215"/>
    <row r="664" ht="15.75" customHeight="1" s="215"/>
    <row r="665" ht="15.75" customHeight="1" s="215"/>
    <row r="666" ht="15.75" customHeight="1" s="215"/>
    <row r="667" ht="15.75" customHeight="1" s="215"/>
    <row r="668" ht="15.75" customHeight="1" s="215"/>
    <row r="669" ht="15.75" customHeight="1" s="215"/>
    <row r="670" ht="15.75" customHeight="1" s="215"/>
    <row r="671" ht="15.75" customHeight="1" s="215"/>
    <row r="672" ht="15.75" customHeight="1" s="215"/>
    <row r="673" ht="15.75" customHeight="1" s="215"/>
    <row r="674" ht="15.75" customHeight="1" s="215"/>
    <row r="675" ht="15.75" customHeight="1" s="215"/>
    <row r="676" ht="15.75" customHeight="1" s="215"/>
    <row r="677" ht="15.75" customHeight="1" s="215"/>
    <row r="678" ht="15.75" customHeight="1" s="215"/>
    <row r="679" ht="15.75" customHeight="1" s="215"/>
    <row r="680" ht="15.75" customHeight="1" s="215"/>
    <row r="681" ht="15.75" customHeight="1" s="215"/>
    <row r="682" ht="15.75" customHeight="1" s="215"/>
    <row r="683" ht="15.75" customHeight="1" s="215"/>
    <row r="684" ht="15.75" customHeight="1" s="215"/>
    <row r="685" ht="15.75" customHeight="1" s="215"/>
    <row r="686" ht="15.75" customHeight="1" s="215"/>
    <row r="687" ht="15.75" customHeight="1" s="215"/>
    <row r="688" ht="15.75" customHeight="1" s="215"/>
    <row r="689" ht="15.75" customHeight="1" s="215"/>
    <row r="690" ht="15.75" customHeight="1" s="215"/>
    <row r="691" ht="15.75" customHeight="1" s="215"/>
    <row r="692" ht="15.75" customHeight="1" s="215"/>
    <row r="693" ht="15.75" customHeight="1" s="215"/>
    <row r="694" ht="15.75" customHeight="1" s="215"/>
    <row r="695" ht="15.75" customHeight="1" s="215"/>
    <row r="696" ht="15.75" customHeight="1" s="215"/>
    <row r="697" ht="15.75" customHeight="1" s="215"/>
    <row r="698" ht="15.75" customHeight="1" s="215"/>
    <row r="699" ht="15.75" customHeight="1" s="215"/>
    <row r="700" ht="15.75" customHeight="1" s="215"/>
    <row r="701" ht="15.75" customHeight="1" s="215"/>
    <row r="702" ht="15.75" customHeight="1" s="215"/>
    <row r="703" ht="15.75" customHeight="1" s="215"/>
    <row r="704" ht="15.75" customHeight="1" s="215"/>
    <row r="705" ht="15.75" customHeight="1" s="215"/>
    <row r="706" ht="15.75" customHeight="1" s="215"/>
    <row r="707" ht="15.75" customHeight="1" s="215"/>
    <row r="708" ht="15.75" customHeight="1" s="215"/>
    <row r="709" ht="15.75" customHeight="1" s="215"/>
    <row r="710" ht="15.75" customHeight="1" s="215"/>
    <row r="711" ht="15.75" customHeight="1" s="215"/>
    <row r="712" ht="15.75" customHeight="1" s="215"/>
    <row r="713" ht="15.75" customHeight="1" s="215"/>
    <row r="714" ht="15.75" customHeight="1" s="215"/>
    <row r="715" ht="15.75" customHeight="1" s="215"/>
    <row r="716" ht="15.75" customHeight="1" s="215"/>
    <row r="717" ht="15.75" customHeight="1" s="215"/>
    <row r="718" ht="15.75" customHeight="1" s="215"/>
    <row r="719" ht="15.75" customHeight="1" s="215"/>
    <row r="720" ht="15.75" customHeight="1" s="215"/>
    <row r="721" ht="15.75" customHeight="1" s="215"/>
    <row r="722" ht="15.75" customHeight="1" s="215"/>
    <row r="723" ht="15.75" customHeight="1" s="215"/>
    <row r="724" ht="15.75" customHeight="1" s="215"/>
    <row r="725" ht="15.75" customHeight="1" s="215"/>
    <row r="726" ht="15.75" customHeight="1" s="215"/>
    <row r="727" ht="15.75" customHeight="1" s="215"/>
    <row r="728" ht="15.75" customHeight="1" s="215"/>
    <row r="729" ht="15.75" customHeight="1" s="215"/>
    <row r="730" ht="15.75" customHeight="1" s="215"/>
    <row r="731" ht="15.75" customHeight="1" s="215"/>
    <row r="732" ht="15.75" customHeight="1" s="215"/>
    <row r="733" ht="15.75" customHeight="1" s="215"/>
    <row r="734" ht="15.75" customHeight="1" s="215"/>
    <row r="735" ht="15.75" customHeight="1" s="215"/>
    <row r="736" ht="15.75" customHeight="1" s="215"/>
    <row r="737" ht="15.75" customHeight="1" s="215"/>
    <row r="738" ht="15.75" customHeight="1" s="215"/>
    <row r="739" ht="15.75" customHeight="1" s="215"/>
    <row r="740" ht="15.75" customHeight="1" s="215"/>
    <row r="741" ht="15.75" customHeight="1" s="215"/>
    <row r="742" ht="15.75" customHeight="1" s="215"/>
    <row r="743" ht="15.75" customHeight="1" s="215"/>
    <row r="744" ht="15.75" customHeight="1" s="215"/>
    <row r="745" ht="15.75" customHeight="1" s="215"/>
    <row r="746" ht="15.75" customHeight="1" s="215"/>
    <row r="747" ht="15.75" customHeight="1" s="215"/>
    <row r="748" ht="15.75" customHeight="1" s="215"/>
    <row r="749" ht="15.75" customHeight="1" s="215"/>
    <row r="750" ht="15.75" customHeight="1" s="215"/>
    <row r="751" ht="15.75" customHeight="1" s="215"/>
    <row r="752" ht="15.75" customHeight="1" s="215"/>
    <row r="753" ht="15.75" customHeight="1" s="215"/>
    <row r="754" ht="15.75" customHeight="1" s="215"/>
    <row r="755" ht="15.75" customHeight="1" s="215"/>
    <row r="756" ht="15.75" customHeight="1" s="215"/>
    <row r="757" ht="15.75" customHeight="1" s="215"/>
    <row r="758" ht="15.75" customHeight="1" s="215"/>
    <row r="759" ht="15.75" customHeight="1" s="215"/>
    <row r="760" ht="15.75" customHeight="1" s="215"/>
    <row r="761" ht="15.75" customHeight="1" s="215"/>
    <row r="762" ht="15.75" customHeight="1" s="215"/>
    <row r="763" ht="15.75" customHeight="1" s="215"/>
    <row r="764" ht="15.75" customHeight="1" s="215"/>
    <row r="765" ht="15.75" customHeight="1" s="215"/>
    <row r="766" ht="15.75" customHeight="1" s="215"/>
    <row r="767" ht="15.75" customHeight="1" s="215"/>
    <row r="768" ht="15.75" customHeight="1" s="215"/>
    <row r="769" ht="15.75" customHeight="1" s="215"/>
    <row r="770" ht="15.75" customHeight="1" s="215"/>
    <row r="771" ht="15.75" customHeight="1" s="215"/>
    <row r="772" ht="15.75" customHeight="1" s="215"/>
    <row r="773" ht="15.75" customHeight="1" s="215"/>
    <row r="774" ht="15.75" customHeight="1" s="215"/>
    <row r="775" ht="15.75" customHeight="1" s="215"/>
    <row r="776" ht="15.75" customHeight="1" s="215"/>
    <row r="777" ht="15.75" customHeight="1" s="215"/>
    <row r="778" ht="15.75" customHeight="1" s="215"/>
    <row r="779" ht="15.75" customHeight="1" s="215"/>
    <row r="780" ht="15.75" customHeight="1" s="215"/>
    <row r="781" ht="15.75" customHeight="1" s="215"/>
    <row r="782" ht="15.75" customHeight="1" s="215"/>
    <row r="783" ht="15.75" customHeight="1" s="215"/>
    <row r="784" ht="15.75" customHeight="1" s="215"/>
    <row r="785" ht="15.75" customHeight="1" s="215"/>
    <row r="786" ht="15.75" customHeight="1" s="215"/>
    <row r="787" ht="15.75" customHeight="1" s="215"/>
    <row r="788" ht="15.75" customHeight="1" s="215"/>
    <row r="789" ht="15.75" customHeight="1" s="215"/>
    <row r="790" ht="15.75" customHeight="1" s="215"/>
    <row r="791" ht="15.75" customHeight="1" s="215"/>
    <row r="792" ht="15.75" customHeight="1" s="215"/>
    <row r="793" ht="15.75" customHeight="1" s="215"/>
    <row r="794" ht="15.75" customHeight="1" s="215"/>
    <row r="795" ht="15.75" customHeight="1" s="215"/>
    <row r="796" ht="15.75" customHeight="1" s="215"/>
    <row r="797" ht="15.75" customHeight="1" s="215"/>
    <row r="798" ht="15.75" customHeight="1" s="215"/>
    <row r="799" ht="15.75" customHeight="1" s="215"/>
    <row r="800" ht="15.75" customHeight="1" s="215"/>
    <row r="801" ht="15.75" customHeight="1" s="215"/>
    <row r="802" ht="15.75" customHeight="1" s="215"/>
    <row r="803" ht="15.75" customHeight="1" s="215"/>
    <row r="804" ht="15.75" customHeight="1" s="215"/>
    <row r="805" ht="15.75" customHeight="1" s="215"/>
    <row r="806" ht="15.75" customHeight="1" s="215"/>
    <row r="807" ht="15.75" customHeight="1" s="215"/>
    <row r="808" ht="15.75" customHeight="1" s="215"/>
    <row r="809" ht="15.75" customHeight="1" s="215"/>
    <row r="810" ht="15.75" customHeight="1" s="215"/>
    <row r="811" ht="15.75" customHeight="1" s="215"/>
    <row r="812" ht="15.75" customHeight="1" s="215"/>
    <row r="813" ht="15.75" customHeight="1" s="215"/>
    <row r="814" ht="15.75" customHeight="1" s="215"/>
    <row r="815" ht="15.75" customHeight="1" s="215"/>
    <row r="816" ht="15.75" customHeight="1" s="215"/>
    <row r="817" ht="15.75" customHeight="1" s="215"/>
    <row r="818" ht="15.75" customHeight="1" s="215"/>
    <row r="819" ht="15.75" customHeight="1" s="215"/>
    <row r="820" ht="15.75" customHeight="1" s="215"/>
    <row r="821" ht="15.75" customHeight="1" s="215"/>
    <row r="822" ht="15.75" customHeight="1" s="215"/>
    <row r="823" ht="15.75" customHeight="1" s="215"/>
    <row r="824" ht="15.75" customHeight="1" s="215"/>
    <row r="825" ht="15.75" customHeight="1" s="215"/>
    <row r="826" ht="15.75" customHeight="1" s="215"/>
    <row r="827" ht="15.75" customHeight="1" s="215"/>
    <row r="828" ht="15.75" customHeight="1" s="215"/>
    <row r="829" ht="15.75" customHeight="1" s="215"/>
    <row r="830" ht="15.75" customHeight="1" s="215"/>
    <row r="831" ht="15.75" customHeight="1" s="215"/>
    <row r="832" ht="15.75" customHeight="1" s="215"/>
    <row r="833" ht="15.75" customHeight="1" s="215"/>
    <row r="834" ht="15.75" customHeight="1" s="215"/>
    <row r="835" ht="15.75" customHeight="1" s="215"/>
    <row r="836" ht="15.75" customHeight="1" s="215"/>
    <row r="837" ht="15.75" customHeight="1" s="215"/>
    <row r="838" ht="15.75" customHeight="1" s="215"/>
    <row r="839" ht="15.75" customHeight="1" s="215"/>
    <row r="840" ht="15.75" customHeight="1" s="215"/>
    <row r="841" ht="15.75" customHeight="1" s="215"/>
    <row r="842" ht="15.75" customHeight="1" s="215"/>
    <row r="843" ht="15.75" customHeight="1" s="215"/>
    <row r="844" ht="15.75" customHeight="1" s="215"/>
    <row r="845" ht="15.75" customHeight="1" s="215"/>
    <row r="846" ht="15.75" customHeight="1" s="215"/>
    <row r="847" ht="15.75" customHeight="1" s="215"/>
    <row r="848" ht="15.75" customHeight="1" s="215"/>
    <row r="849" ht="15.75" customHeight="1" s="215"/>
    <row r="850" ht="15.75" customHeight="1" s="215"/>
    <row r="851" ht="15.75" customHeight="1" s="215"/>
    <row r="852" ht="15.75" customHeight="1" s="215"/>
    <row r="853" ht="15.75" customHeight="1" s="215"/>
    <row r="854" ht="15.75" customHeight="1" s="215"/>
    <row r="855" ht="15.75" customHeight="1" s="215"/>
    <row r="856" ht="15.75" customHeight="1" s="215"/>
    <row r="857" ht="15.75" customHeight="1" s="215"/>
    <row r="858" ht="15.75" customHeight="1" s="215"/>
    <row r="859" ht="15.75" customHeight="1" s="215"/>
    <row r="860" ht="15.75" customHeight="1" s="215"/>
    <row r="861" ht="15.75" customHeight="1" s="215"/>
    <row r="862" ht="15.75" customHeight="1" s="215"/>
    <row r="863" ht="15.75" customHeight="1" s="215"/>
    <row r="864" ht="15.75" customHeight="1" s="215"/>
    <row r="865" ht="15.75" customHeight="1" s="215"/>
    <row r="866" ht="15.75" customHeight="1" s="215"/>
    <row r="867" ht="15.75" customHeight="1" s="215"/>
    <row r="868" ht="15.75" customHeight="1" s="215"/>
    <row r="869" ht="15.75" customHeight="1" s="215"/>
    <row r="870" ht="15.75" customHeight="1" s="215"/>
    <row r="871" ht="15.75" customHeight="1" s="215"/>
    <row r="872" ht="15.75" customHeight="1" s="215"/>
    <row r="873" ht="15.75" customHeight="1" s="215"/>
    <row r="874" ht="15.75" customHeight="1" s="215"/>
    <row r="875" ht="15.75" customHeight="1" s="215"/>
    <row r="876" ht="15.75" customHeight="1" s="215"/>
    <row r="877" ht="15.75" customHeight="1" s="215"/>
    <row r="878" ht="15.75" customHeight="1" s="215"/>
    <row r="879" ht="15.75" customHeight="1" s="215"/>
    <row r="880" ht="15.75" customHeight="1" s="215"/>
    <row r="881" ht="15.75" customHeight="1" s="215"/>
    <row r="882" ht="15.75" customHeight="1" s="215"/>
    <row r="883" ht="15.75" customHeight="1" s="215"/>
    <row r="884" ht="15.75" customHeight="1" s="215"/>
    <row r="885" ht="15.75" customHeight="1" s="215"/>
    <row r="886" ht="15.75" customHeight="1" s="215"/>
    <row r="887" ht="15.75" customHeight="1" s="215"/>
    <row r="888" ht="15.75" customHeight="1" s="215"/>
    <row r="889" ht="15.75" customHeight="1" s="215"/>
    <row r="890" ht="15.75" customHeight="1" s="215"/>
    <row r="891" ht="15.75" customHeight="1" s="215"/>
    <row r="892" ht="15.75" customHeight="1" s="215"/>
    <row r="893" ht="15.75" customHeight="1" s="215"/>
    <row r="894" ht="15.75" customHeight="1" s="215"/>
    <row r="895" ht="15.75" customHeight="1" s="215"/>
    <row r="896" ht="15.75" customHeight="1" s="215"/>
    <row r="897" ht="15.75" customHeight="1" s="215"/>
    <row r="898" ht="15.75" customHeight="1" s="215"/>
    <row r="899" ht="15.75" customHeight="1" s="215"/>
    <row r="900" ht="15.75" customHeight="1" s="215"/>
    <row r="901" ht="15.75" customHeight="1" s="215"/>
    <row r="902" ht="15.75" customHeight="1" s="215"/>
    <row r="903" ht="15.75" customHeight="1" s="215"/>
    <row r="904" ht="15.75" customHeight="1" s="215"/>
    <row r="905" ht="15.75" customHeight="1" s="215"/>
    <row r="906" ht="15.75" customHeight="1" s="215"/>
    <row r="907" ht="15.75" customHeight="1" s="215"/>
    <row r="908" ht="15.75" customHeight="1" s="215"/>
    <row r="909" ht="15.75" customHeight="1" s="215"/>
    <row r="910" ht="15.75" customHeight="1" s="215"/>
    <row r="911" ht="15.75" customHeight="1" s="215"/>
    <row r="912" ht="15.75" customHeight="1" s="215"/>
    <row r="913" ht="15.75" customHeight="1" s="215"/>
    <row r="914" ht="15.75" customHeight="1" s="215"/>
    <row r="915" ht="15.75" customHeight="1" s="215"/>
    <row r="916" ht="15.75" customHeight="1" s="215"/>
    <row r="917" ht="15.75" customHeight="1" s="215"/>
    <row r="918" ht="15.75" customHeight="1" s="215"/>
    <row r="919" ht="15.75" customHeight="1" s="215"/>
    <row r="920" ht="15.75" customHeight="1" s="215"/>
    <row r="921" ht="15.75" customHeight="1" s="215"/>
    <row r="922" ht="15.75" customHeight="1" s="215"/>
    <row r="923" ht="15.75" customHeight="1" s="215"/>
    <row r="924" ht="15.75" customHeight="1" s="215"/>
    <row r="925" ht="15.75" customHeight="1" s="215"/>
    <row r="926" ht="15.75" customHeight="1" s="215"/>
    <row r="927" ht="15.75" customHeight="1" s="215"/>
    <row r="928" ht="15.75" customHeight="1" s="215"/>
    <row r="929" ht="15.75" customHeight="1" s="215"/>
    <row r="930" ht="15.75" customHeight="1" s="215"/>
    <row r="931" ht="15.75" customHeight="1" s="215"/>
    <row r="932" ht="15.75" customHeight="1" s="215"/>
    <row r="933" ht="15.75" customHeight="1" s="215"/>
    <row r="934" ht="15.75" customHeight="1" s="215"/>
    <row r="935" ht="15.75" customHeight="1" s="215"/>
    <row r="936" ht="15.75" customHeight="1" s="215"/>
    <row r="937" ht="15.75" customHeight="1" s="215"/>
    <row r="938" ht="15.75" customHeight="1" s="215"/>
    <row r="939" ht="15.75" customHeight="1" s="215"/>
    <row r="940" ht="15.75" customHeight="1" s="215"/>
    <row r="941" ht="15.75" customHeight="1" s="215"/>
    <row r="942" ht="15.75" customHeight="1" s="215"/>
    <row r="943" ht="15.75" customHeight="1" s="215"/>
    <row r="944" ht="15.75" customHeight="1" s="215"/>
    <row r="945" ht="15.75" customHeight="1" s="215"/>
    <row r="946" ht="15.75" customHeight="1" s="215"/>
    <row r="947" ht="15.75" customHeight="1" s="215"/>
    <row r="948" ht="15.75" customHeight="1" s="215"/>
    <row r="949" ht="15.75" customHeight="1" s="215"/>
    <row r="950" ht="15.75" customHeight="1" s="215"/>
    <row r="951" ht="15.75" customHeight="1" s="215"/>
    <row r="952" ht="15.75" customHeight="1" s="215"/>
    <row r="953" ht="15.75" customHeight="1" s="215"/>
    <row r="954" ht="15.75" customHeight="1" s="215"/>
    <row r="955" ht="15.75" customHeight="1" s="215"/>
    <row r="956" ht="15.75" customHeight="1" s="215"/>
    <row r="957" ht="15.75" customHeight="1" s="215"/>
    <row r="958" ht="15.75" customHeight="1" s="215"/>
    <row r="959" ht="15.75" customHeight="1" s="215"/>
    <row r="960" ht="15.75" customHeight="1" s="215"/>
    <row r="961" ht="15.75" customHeight="1" s="215"/>
    <row r="962" ht="15.75" customHeight="1" s="215"/>
    <row r="963" ht="15.75" customHeight="1" s="215"/>
    <row r="964" ht="15.75" customHeight="1" s="215"/>
    <row r="965" ht="15.75" customHeight="1" s="215"/>
    <row r="966" ht="15.75" customHeight="1" s="215"/>
    <row r="967" ht="15.75" customHeight="1" s="215"/>
    <row r="968" ht="15.75" customHeight="1" s="215"/>
    <row r="969" ht="15.75" customHeight="1" s="215"/>
    <row r="970" ht="15.75" customHeight="1" s="215"/>
    <row r="971" ht="15.75" customHeight="1" s="215"/>
    <row r="972" ht="15.75" customHeight="1" s="215"/>
    <row r="973" ht="15.75" customHeight="1" s="215"/>
    <row r="974" ht="15.75" customHeight="1" s="215"/>
    <row r="975" ht="15.75" customHeight="1" s="215"/>
    <row r="976" ht="15.75" customHeight="1" s="215"/>
    <row r="977" ht="15.75" customHeight="1" s="215"/>
    <row r="978" ht="15.75" customHeight="1" s="215"/>
    <row r="979" ht="15.75" customHeight="1" s="215"/>
    <row r="980" ht="15.75" customHeight="1" s="215"/>
    <row r="981" ht="15.75" customHeight="1" s="215"/>
    <row r="982" ht="15.75" customHeight="1" s="215"/>
    <row r="983" ht="15.75" customHeight="1" s="215"/>
    <row r="984" ht="15.75" customHeight="1" s="215"/>
    <row r="985" ht="15.75" customHeight="1" s="215"/>
    <row r="986" ht="15.75" customHeight="1" s="215"/>
    <row r="987" ht="15.75" customHeight="1" s="215"/>
    <row r="988" ht="15.75" customHeight="1" s="215"/>
    <row r="989" ht="15.75" customHeight="1" s="215"/>
    <row r="990" ht="15.75" customHeight="1" s="215"/>
    <row r="991" ht="15.75" customHeight="1" s="215"/>
    <row r="992" ht="15.75" customHeight="1" s="215"/>
    <row r="993" ht="15.75" customHeight="1" s="215"/>
    <row r="994" ht="15.75" customHeight="1" s="215"/>
    <row r="995" ht="15.75" customHeight="1" s="215"/>
    <row r="996" ht="15.75" customHeight="1" s="215"/>
    <row r="997" ht="15.75" customHeight="1" s="215"/>
    <row r="998" ht="15.75" customHeight="1" s="215"/>
    <row r="999" ht="15.75" customHeight="1" s="215"/>
    <row r="1000" ht="15.75" customHeight="1" s="215"/>
  </sheetData>
  <mergeCells count="5">
    <mergeCell ref="H9:H10"/>
    <mergeCell ref="B7:C7"/>
    <mergeCell ref="B10:C10"/>
    <mergeCell ref="B2:H2"/>
    <mergeCell ref="E9:G9"/>
  </mergeCells>
  <pageMargins left="0.7" right="0.7" top="0.75" bottom="0.75" header="0" footer="0"/>
  <pageSetup orientation="portrait"/>
</worksheet>
</file>

<file path=xl/worksheets/sheet3.xml><?xml version="1.0" encoding="utf-8"?>
<worksheet xmlns="http://schemas.openxmlformats.org/spreadsheetml/2006/main">
  <sheetPr>
    <tabColor rgb="FF385623"/>
    <outlinePr summaryBelow="1" summaryRight="1"/>
    <pageSetUpPr/>
  </sheetPr>
  <dimension ref="A2:Z369"/>
  <sheetViews>
    <sheetView workbookViewId="0">
      <selection activeCell="A1" sqref="A1"/>
    </sheetView>
  </sheetViews>
  <sheetFormatPr baseColWidth="8" defaultColWidth="12.63" defaultRowHeight="15" customHeight="1"/>
  <cols>
    <col width="2.5" customWidth="1" style="215" min="1" max="1"/>
    <col width="6.75" customWidth="1" style="215" min="2" max="2"/>
    <col width="101.13" customWidth="1" style="215" min="3" max="3"/>
    <col width="3.75" customWidth="1" style="215" min="4" max="4"/>
    <col width="6.25" customWidth="1" style="215" min="5" max="7"/>
    <col width="75" customWidth="1" style="215" min="8" max="8"/>
    <col width="10" customWidth="1" style="215" min="9" max="9"/>
    <col width="24.25" customWidth="1" style="215" min="10" max="10"/>
    <col width="10" customWidth="1" style="215" min="11" max="26"/>
  </cols>
  <sheetData>
    <row r="2" ht="21.75" customHeight="1" s="215">
      <c r="B2" s="31" t="inlineStr">
        <is>
          <t>LISTADO DE REQUERIMIENTOS DEL SISTEMA IMPLEMENTACION DEL SOFTWARE DE RESERVAS PARA EVENTOS DE RESTAURANTES EN BUCARAMANGA (RESERVIFY)</t>
        </is>
      </c>
    </row>
    <row r="3" ht="15" customHeight="1" s="215">
      <c r="B3" s="32" t="n"/>
      <c r="C3" s="32" t="n"/>
    </row>
    <row r="4" ht="15.75" customHeight="1" s="215">
      <c r="B4" s="33" t="inlineStr">
        <is>
          <t>SI</t>
        </is>
      </c>
      <c r="C4" s="34" t="inlineStr">
        <is>
          <t>Marque con una equis (X) si el sistema cumple con la función descrita</t>
        </is>
      </c>
    </row>
    <row r="5" ht="15.75" customHeight="1" s="215">
      <c r="B5" s="33" t="inlineStr">
        <is>
          <t>NO</t>
        </is>
      </c>
      <c r="C5" s="34" t="inlineStr">
        <is>
          <t>Marque con una equis (X) si el sistema no cumple con la función descrita</t>
        </is>
      </c>
    </row>
    <row r="6" ht="15.75" customHeight="1" s="215">
      <c r="B6" s="33" t="inlineStr">
        <is>
          <t>ADI</t>
        </is>
      </c>
      <c r="C6" s="34" t="inlineStr">
        <is>
          <t>Marque con una equis (X) si el sistema debe adicionar la función descrita</t>
        </is>
      </c>
    </row>
    <row r="7" ht="15.75" customHeight="1" s="215">
      <c r="B7" s="35" t="inlineStr">
        <is>
          <t>Observaciones:Espacio para complementar respuestas</t>
        </is>
      </c>
    </row>
    <row r="8" ht="15.75" customHeight="1" s="215">
      <c r="B8" s="35" t="n"/>
      <c r="C8" s="35" t="n"/>
    </row>
    <row r="9" ht="15" customHeight="1" s="215">
      <c r="E9" s="44" t="inlineStr">
        <is>
          <t>Nivel de cumplimiento</t>
        </is>
      </c>
      <c r="F9" s="224" t="n"/>
      <c r="G9" s="225" t="n"/>
      <c r="H9" s="44" t="inlineStr">
        <is>
          <t>OBSERVACIONES</t>
        </is>
      </c>
    </row>
    <row r="10" ht="20.25" customHeight="1" s="215">
      <c r="B10" s="41" t="inlineStr">
        <is>
          <t xml:space="preserve">REQUISITOS FUNCIONALES GENERALES </t>
        </is>
      </c>
      <c r="C10" s="226" t="n"/>
      <c r="D10" s="43" t="n"/>
      <c r="E10" s="44" t="inlineStr">
        <is>
          <t>SI</t>
        </is>
      </c>
      <c r="F10" s="45" t="inlineStr">
        <is>
          <t>ADI</t>
        </is>
      </c>
      <c r="G10" s="45" t="inlineStr">
        <is>
          <t>NO</t>
        </is>
      </c>
      <c r="H10" s="227" t="n"/>
      <c r="I10" s="47" t="n"/>
    </row>
    <row r="11" ht="11.25" customHeight="1" s="215">
      <c r="B11" s="48" t="n"/>
      <c r="C11" s="75" t="n"/>
      <c r="H11" s="76" t="n"/>
    </row>
    <row r="12" s="215">
      <c r="A12" s="77" t="n"/>
      <c r="B12" s="78" t="n">
        <v>1</v>
      </c>
      <c r="C12" s="231" t="inlineStr">
        <is>
          <t>NFF-VIG-HOME-01 – Estructura de Home</t>
        </is>
      </c>
      <c r="D12" s="77" t="n"/>
      <c r="E12" s="79" t="inlineStr">
        <is>
          <t>x</t>
        </is>
      </c>
      <c r="F12" s="30" t="n"/>
      <c r="G12" s="30" t="n"/>
      <c r="H12" s="30" t="n"/>
      <c r="I12" s="77" t="n"/>
      <c r="J12" s="57" t="inlineStr">
        <is>
          <t>requerimientos total</t>
        </is>
      </c>
      <c r="K12" s="58">
        <f>COUNTA(C12:C48)</f>
        <v/>
      </c>
      <c r="L12" s="77" t="n"/>
      <c r="M12" s="77" t="n"/>
      <c r="N12" s="77" t="n"/>
      <c r="O12" s="77" t="n"/>
      <c r="P12" s="77" t="n"/>
      <c r="Q12" s="77" t="n"/>
      <c r="R12" s="77" t="n"/>
      <c r="S12" s="77" t="n"/>
      <c r="T12" s="77" t="n"/>
      <c r="U12" s="77" t="n"/>
      <c r="V12" s="77" t="n"/>
      <c r="W12" s="77" t="n"/>
      <c r="X12" s="77" t="n"/>
      <c r="Y12" s="77" t="n"/>
      <c r="Z12" s="77" t="n"/>
    </row>
    <row r="13" s="215">
      <c r="A13" s="77" t="n"/>
      <c r="B13" s="78" t="n">
        <v>2</v>
      </c>
      <c r="C13" s="231" t="inlineStr">
        <is>
          <t>NFF-VIG-HOME-02 – Header fijo y navegación</t>
        </is>
      </c>
      <c r="D13" s="77" t="n"/>
      <c r="E13" s="79" t="inlineStr">
        <is>
          <t>x</t>
        </is>
      </c>
      <c r="F13" s="30" t="n"/>
      <c r="G13" s="30" t="n"/>
      <c r="H13" s="30" t="n"/>
      <c r="I13" s="77" t="n"/>
      <c r="J13" s="57" t="inlineStr">
        <is>
          <t>requerimientos completados</t>
        </is>
      </c>
      <c r="K13" s="58">
        <f>COUNTA(E12:E48)</f>
        <v/>
      </c>
      <c r="L13" s="77" t="n"/>
      <c r="M13" s="77" t="n"/>
      <c r="N13" s="77" t="n"/>
      <c r="O13" s="77" t="n"/>
      <c r="P13" s="77" t="n"/>
      <c r="Q13" s="77" t="n"/>
      <c r="R13" s="77" t="n"/>
      <c r="S13" s="77" t="n"/>
      <c r="T13" s="77" t="n"/>
      <c r="U13" s="77" t="n"/>
      <c r="V13" s="77" t="n"/>
      <c r="W13" s="77" t="n"/>
      <c r="X13" s="77" t="n"/>
      <c r="Y13" s="77" t="n"/>
      <c r="Z13" s="77" t="n"/>
    </row>
    <row r="14" s="215">
      <c r="A14" s="77" t="n"/>
      <c r="B14" s="78" t="n">
        <v>3</v>
      </c>
      <c r="C14" s="231" t="inlineStr">
        <is>
          <t>NFF-VIG-HOME-03 – Búsqueda principal por cocina/restaurante</t>
        </is>
      </c>
      <c r="D14" s="77" t="n"/>
      <c r="E14" s="79" t="n"/>
      <c r="F14" s="30" t="inlineStr">
        <is>
          <t>x</t>
        </is>
      </c>
      <c r="G14" s="30" t="n"/>
      <c r="H14" s="30" t="inlineStr">
        <is>
          <t>Vigente con ajustes pendientes.</t>
        </is>
      </c>
      <c r="I14" s="77" t="n"/>
      <c r="J14" s="57" t="inlineStr">
        <is>
          <t>requerimientos sin completar</t>
        </is>
      </c>
      <c r="K14" s="58">
        <f>K12 - K13</f>
        <v/>
      </c>
      <c r="L14" s="77" t="n"/>
      <c r="M14" s="77" t="n"/>
      <c r="N14" s="77" t="n"/>
      <c r="O14" s="77" t="n"/>
      <c r="P14" s="77" t="n"/>
      <c r="Q14" s="77" t="n"/>
      <c r="R14" s="77" t="n"/>
      <c r="S14" s="77" t="n"/>
      <c r="T14" s="77" t="n"/>
      <c r="U14" s="77" t="n"/>
      <c r="V14" s="77" t="n"/>
      <c r="W14" s="77" t="n"/>
      <c r="X14" s="77" t="n"/>
      <c r="Y14" s="77" t="n"/>
      <c r="Z14" s="77" t="n"/>
    </row>
    <row r="15" s="215">
      <c r="A15" s="77" t="n"/>
      <c r="B15" s="78" t="n">
        <v>4</v>
      </c>
      <c r="C15" s="231" t="inlineStr">
        <is>
          <t>NFF-VIG-HOME-04 – Ubicación opcional</t>
        </is>
      </c>
      <c r="D15" s="77" t="n"/>
      <c r="E15" s="79" t="inlineStr">
        <is>
          <t>x</t>
        </is>
      </c>
      <c r="F15" s="30" t="n"/>
      <c r="G15" s="30" t="n"/>
      <c r="H15" s="30" t="n"/>
      <c r="I15" s="77" t="n"/>
      <c r="J15" s="57" t="inlineStr">
        <is>
          <t>porcentaje</t>
        </is>
      </c>
      <c r="K15" s="58">
        <f>TEXT((K13/K12)*100,"0,00") &amp; "%"</f>
        <v/>
      </c>
      <c r="L15" s="77" t="n"/>
      <c r="M15" s="77" t="n"/>
      <c r="N15" s="77" t="n"/>
      <c r="O15" s="77" t="n"/>
      <c r="P15" s="77" t="n"/>
      <c r="Q15" s="77" t="n"/>
      <c r="R15" s="77" t="n"/>
      <c r="S15" s="77" t="n"/>
      <c r="T15" s="77" t="n"/>
      <c r="U15" s="77" t="n"/>
      <c r="V15" s="77" t="n"/>
      <c r="W15" s="77" t="n"/>
      <c r="X15" s="77" t="n"/>
      <c r="Y15" s="77" t="n"/>
      <c r="Z15" s="77" t="n"/>
    </row>
    <row r="16" s="215">
      <c r="A16" s="77" t="n"/>
      <c r="B16" s="78" t="n">
        <v>5</v>
      </c>
      <c r="C16" s="231" t="inlineStr">
        <is>
          <t>NFF-VIG-HOME-05 – Carga diferida y rendimiento percibido</t>
        </is>
      </c>
      <c r="D16" s="77" t="n"/>
      <c r="E16" s="79" t="inlineStr">
        <is>
          <t>x</t>
        </is>
      </c>
      <c r="F16" s="30" t="n"/>
      <c r="G16" s="30" t="n"/>
      <c r="H16" s="30" t="n"/>
      <c r="I16" s="77" t="n"/>
      <c r="J16" s="57" t="n"/>
      <c r="K16" s="58" t="n"/>
      <c r="L16" s="77" t="n"/>
      <c r="M16" s="77" t="n"/>
      <c r="N16" s="77" t="n"/>
      <c r="O16" s="77" t="n"/>
      <c r="P16" s="77" t="n"/>
      <c r="Q16" s="77" t="n"/>
      <c r="R16" s="77" t="n"/>
      <c r="S16" s="77" t="n"/>
      <c r="T16" s="77" t="n"/>
      <c r="U16" s="77" t="n"/>
      <c r="V16" s="77" t="n"/>
      <c r="W16" s="77" t="n"/>
      <c r="X16" s="77" t="n"/>
      <c r="Y16" s="77" t="n"/>
      <c r="Z16" s="77" t="n"/>
    </row>
    <row r="17" s="215">
      <c r="A17" s="77" t="n"/>
      <c r="B17" s="78" t="n">
        <v>6</v>
      </c>
      <c r="C17" s="231" t="inlineStr">
        <is>
          <t>NFF-VIG-HOME-06 – Tema claro/oscuro por tokens</t>
        </is>
      </c>
      <c r="D17" s="77" t="n"/>
      <c r="E17" s="79" t="inlineStr">
        <is>
          <t>x</t>
        </is>
      </c>
      <c r="F17" s="30" t="n"/>
      <c r="G17" s="30" t="n"/>
      <c r="H17" s="30" t="n"/>
      <c r="I17" s="77" t="n"/>
      <c r="J17" s="57" t="n"/>
      <c r="K17" s="58" t="n"/>
      <c r="L17" s="77" t="n"/>
      <c r="M17" s="77" t="n"/>
      <c r="N17" s="77" t="n"/>
      <c r="O17" s="77" t="n"/>
      <c r="P17" s="77" t="n"/>
      <c r="Q17" s="77" t="n"/>
      <c r="R17" s="77" t="n"/>
      <c r="S17" s="77" t="n"/>
      <c r="T17" s="77" t="n"/>
      <c r="U17" s="77" t="n"/>
      <c r="V17" s="77" t="n"/>
      <c r="W17" s="77" t="n"/>
      <c r="X17" s="77" t="n"/>
      <c r="Y17" s="77" t="n"/>
      <c r="Z17" s="77" t="n"/>
    </row>
    <row r="18" s="215">
      <c r="A18" s="77" t="n"/>
      <c r="B18" s="78" t="n">
        <v>7</v>
      </c>
      <c r="C18" s="231" t="inlineStr">
        <is>
          <t>NFF-VIG-SEARCH-01 – Ruta pública `/buscar` (`ROUTES.SEARCH`)</t>
        </is>
      </c>
      <c r="D18" s="77" t="n"/>
      <c r="E18" s="79" t="inlineStr">
        <is>
          <t>x</t>
        </is>
      </c>
      <c r="F18" s="30" t="n"/>
      <c r="G18" s="30" t="n"/>
      <c r="H18" s="30" t="n"/>
      <c r="I18" s="77" t="n"/>
      <c r="J18" s="57" t="n"/>
      <c r="K18" s="58" t="n"/>
      <c r="L18" s="77" t="n"/>
      <c r="M18" s="77" t="n"/>
      <c r="N18" s="77" t="n"/>
      <c r="O18" s="77" t="n"/>
      <c r="P18" s="77" t="n"/>
      <c r="Q18" s="77" t="n"/>
      <c r="R18" s="77" t="n"/>
      <c r="S18" s="77" t="n"/>
      <c r="T18" s="77" t="n"/>
      <c r="U18" s="77" t="n"/>
      <c r="V18" s="77" t="n"/>
      <c r="W18" s="77" t="n"/>
      <c r="X18" s="77" t="n"/>
      <c r="Y18" s="77" t="n"/>
      <c r="Z18" s="77" t="n"/>
    </row>
    <row r="19" s="215">
      <c r="A19" s="77" t="n"/>
      <c r="B19" s="78" t="n">
        <v>8</v>
      </c>
      <c r="C19" s="231" t="inlineStr">
        <is>
          <t>NFF-VIG-SEARCH-02 – Parámetros de URL y estado</t>
        </is>
      </c>
      <c r="D19" s="77" t="n"/>
      <c r="E19" s="79" t="inlineStr">
        <is>
          <t>x</t>
        </is>
      </c>
      <c r="F19" s="30" t="n"/>
      <c r="G19" s="30" t="n"/>
      <c r="H19" s="30" t="n"/>
      <c r="I19" s="77" t="n"/>
      <c r="J19" s="57" t="n"/>
      <c r="K19" s="58" t="n"/>
      <c r="L19" s="77" t="n"/>
      <c r="M19" s="77" t="n"/>
      <c r="N19" s="77" t="n"/>
      <c r="O19" s="77" t="n"/>
      <c r="P19" s="77" t="n"/>
      <c r="Q19" s="77" t="n"/>
      <c r="R19" s="77" t="n"/>
      <c r="S19" s="77" t="n"/>
      <c r="T19" s="77" t="n"/>
      <c r="U19" s="77" t="n"/>
      <c r="V19" s="77" t="n"/>
      <c r="W19" s="77" t="n"/>
      <c r="X19" s="77" t="n"/>
      <c r="Y19" s="77" t="n"/>
      <c r="Z19" s="77" t="n"/>
    </row>
    <row r="20" s="215">
      <c r="A20" s="77" t="n"/>
      <c r="B20" s="78" t="n">
        <v>9</v>
      </c>
      <c r="C20" s="231" t="inlineStr">
        <is>
          <t>NFF-VIG-SEARCH-03 – Resultados paginados vía API</t>
        </is>
      </c>
      <c r="D20" s="77" t="n"/>
      <c r="E20" s="79" t="inlineStr">
        <is>
          <t>x</t>
        </is>
      </c>
      <c r="F20" s="30" t="n"/>
      <c r="G20" s="30" t="n"/>
      <c r="H20" s="30" t="n"/>
      <c r="I20" s="77" t="n"/>
      <c r="J20" s="57" t="n"/>
      <c r="K20" s="58" t="n"/>
      <c r="L20" s="77" t="n"/>
      <c r="M20" s="77" t="n"/>
      <c r="N20" s="77" t="n"/>
      <c r="O20" s="77" t="n"/>
      <c r="P20" s="77" t="n"/>
      <c r="Q20" s="77" t="n"/>
      <c r="R20" s="77" t="n"/>
      <c r="S20" s="77" t="n"/>
      <c r="T20" s="77" t="n"/>
      <c r="U20" s="77" t="n"/>
      <c r="V20" s="77" t="n"/>
      <c r="W20" s="77" t="n"/>
      <c r="X20" s="77" t="n"/>
      <c r="Y20" s="77" t="n"/>
      <c r="Z20" s="77" t="n"/>
    </row>
    <row r="21" ht="15.75" customHeight="1" s="215">
      <c r="A21" s="77" t="n"/>
      <c r="B21" s="78" t="n">
        <v>10</v>
      </c>
      <c r="C21" s="231" t="inlineStr">
        <is>
          <t>NFF-VIG-SEARCH-04 – Cáscara de página</t>
        </is>
      </c>
      <c r="D21" s="77" t="n"/>
      <c r="E21" s="79" t="inlineStr">
        <is>
          <t>x</t>
        </is>
      </c>
      <c r="F21" s="30" t="n"/>
      <c r="G21" s="30" t="n"/>
      <c r="H21" s="30" t="n"/>
      <c r="I21" s="77" t="n"/>
      <c r="J21" s="57" t="n"/>
      <c r="K21" s="58" t="n"/>
      <c r="L21" s="77" t="n"/>
      <c r="M21" s="77" t="n"/>
      <c r="N21" s="77" t="n"/>
      <c r="O21" s="77" t="n"/>
      <c r="P21" s="77" t="n"/>
      <c r="Q21" s="77" t="n"/>
      <c r="R21" s="77" t="n"/>
      <c r="S21" s="77" t="n"/>
      <c r="T21" s="77" t="n"/>
      <c r="U21" s="77" t="n"/>
      <c r="V21" s="77" t="n"/>
      <c r="W21" s="77" t="n"/>
      <c r="X21" s="77" t="n"/>
      <c r="Y21" s="77" t="n"/>
      <c r="Z21" s="77" t="n"/>
    </row>
    <row r="22" ht="15.75" customHeight="1" s="215">
      <c r="A22" s="77" t="n"/>
      <c r="B22" s="78" t="n">
        <v>11</v>
      </c>
      <c r="C22" s="231" t="inlineStr">
        <is>
          <t>NFF-VIG-LOGIN-01 – Inicio de sesión con correo y contraseña</t>
        </is>
      </c>
      <c r="D22" s="77" t="n"/>
      <c r="E22" s="79" t="inlineStr">
        <is>
          <t>x</t>
        </is>
      </c>
      <c r="F22" s="30" t="n"/>
      <c r="G22" s="30" t="n"/>
      <c r="H22" s="30" t="n"/>
      <c r="I22" s="77" t="n"/>
      <c r="J22" s="57" t="n"/>
      <c r="K22" s="58" t="n"/>
      <c r="L22" s="77" t="n"/>
      <c r="M22" s="77" t="n"/>
      <c r="N22" s="77" t="n"/>
      <c r="O22" s="77" t="n"/>
      <c r="P22" s="77" t="n"/>
      <c r="Q22" s="77" t="n"/>
      <c r="R22" s="77" t="n"/>
      <c r="S22" s="77" t="n"/>
      <c r="T22" s="77" t="n"/>
      <c r="U22" s="77" t="n"/>
      <c r="V22" s="77" t="n"/>
      <c r="W22" s="77" t="n"/>
      <c r="X22" s="77" t="n"/>
      <c r="Y22" s="77" t="n"/>
      <c r="Z22" s="77" t="n"/>
    </row>
    <row r="23" ht="15.75" customHeight="1" s="215">
      <c r="A23" s="77" t="n"/>
      <c r="B23" s="78" t="n">
        <v>12</v>
      </c>
      <c r="C23" s="231" t="inlineStr">
        <is>
          <t>NFF-VIG-LOGIN-02 – Recuperación de contraseña en 3 pasos</t>
        </is>
      </c>
      <c r="D23" s="77" t="n"/>
      <c r="E23" s="79" t="inlineStr">
        <is>
          <t>x</t>
        </is>
      </c>
      <c r="F23" s="30" t="n"/>
      <c r="G23" s="30" t="n"/>
      <c r="H23" s="30" t="n"/>
      <c r="I23" s="77" t="n"/>
      <c r="J23" s="57" t="n"/>
      <c r="K23" s="58" t="n"/>
      <c r="L23" s="77" t="n"/>
      <c r="M23" s="77" t="n"/>
      <c r="N23" s="77" t="n"/>
      <c r="O23" s="77" t="n"/>
      <c r="P23" s="77" t="n"/>
      <c r="Q23" s="77" t="n"/>
      <c r="R23" s="77" t="n"/>
      <c r="S23" s="77" t="n"/>
      <c r="T23" s="77" t="n"/>
      <c r="U23" s="77" t="n"/>
      <c r="V23" s="77" t="n"/>
      <c r="W23" s="77" t="n"/>
      <c r="X23" s="77" t="n"/>
      <c r="Y23" s="77" t="n"/>
      <c r="Z23" s="77" t="n"/>
    </row>
    <row r="24" ht="15.75" customHeight="1" s="215">
      <c r="A24" s="77" t="n"/>
      <c r="B24" s="78" t="n">
        <v>13</v>
      </c>
      <c r="C24" s="231" t="inlineStr">
        <is>
          <t>NFF-VIG-LOGIN-03 – UX de feedback</t>
        </is>
      </c>
      <c r="D24" s="77" t="n"/>
      <c r="E24" s="79" t="inlineStr">
        <is>
          <t>x</t>
        </is>
      </c>
      <c r="F24" s="30" t="n"/>
      <c r="G24" s="30" t="n"/>
      <c r="H24" s="30" t="n"/>
      <c r="I24" s="77" t="n"/>
      <c r="J24" s="57" t="n"/>
      <c r="K24" s="58" t="n"/>
      <c r="L24" s="77" t="n"/>
      <c r="M24" s="77" t="n"/>
      <c r="N24" s="77" t="n"/>
      <c r="O24" s="77" t="n"/>
      <c r="P24" s="77" t="n"/>
      <c r="Q24" s="77" t="n"/>
      <c r="R24" s="77" t="n"/>
      <c r="S24" s="77" t="n"/>
      <c r="T24" s="77" t="n"/>
      <c r="U24" s="77" t="n"/>
      <c r="V24" s="77" t="n"/>
      <c r="W24" s="77" t="n"/>
      <c r="X24" s="77" t="n"/>
      <c r="Y24" s="77" t="n"/>
      <c r="Z24" s="77" t="n"/>
    </row>
    <row r="25" ht="15.75" customHeight="1" s="215">
      <c r="A25" s="77" t="n"/>
      <c r="B25" s="78" t="n">
        <v>14</v>
      </c>
      <c r="C25" s="231" t="inlineStr">
        <is>
          <t>NFF-VIG-LOGIN-04 – Integración de términos y privacidad</t>
        </is>
      </c>
      <c r="D25" s="77" t="n"/>
      <c r="E25" s="79" t="inlineStr">
        <is>
          <t>x</t>
        </is>
      </c>
      <c r="F25" s="30" t="n"/>
      <c r="G25" s="30" t="n"/>
      <c r="H25" s="30" t="n"/>
      <c r="I25" s="77" t="n"/>
      <c r="J25" s="57" t="n"/>
      <c r="K25" s="58" t="n"/>
      <c r="L25" s="77" t="n"/>
      <c r="M25" s="77" t="n"/>
      <c r="N25" s="77" t="n"/>
      <c r="O25" s="77" t="n"/>
      <c r="P25" s="77" t="n"/>
      <c r="Q25" s="77" t="n"/>
      <c r="R25" s="77" t="n"/>
      <c r="S25" s="77" t="n"/>
      <c r="T25" s="77" t="n"/>
      <c r="U25" s="77" t="n"/>
      <c r="V25" s="77" t="n"/>
      <c r="W25" s="77" t="n"/>
      <c r="X25" s="77" t="n"/>
      <c r="Y25" s="77" t="n"/>
      <c r="Z25" s="77" t="n"/>
    </row>
    <row r="26" ht="15.75" customHeight="1" s="215">
      <c r="A26" s="77" t="n"/>
      <c r="B26" s="78" t="n">
        <v>15</v>
      </c>
      <c r="C26" s="231" t="inlineStr">
        <is>
          <t>NFF-VIG-LOGIN-05 – OAuth social</t>
        </is>
      </c>
      <c r="D26" s="77" t="n"/>
      <c r="E26" s="79" t="n"/>
      <c r="F26" s="30" t="n"/>
      <c r="G26" s="30" t="inlineStr">
        <is>
          <t>x</t>
        </is>
      </c>
      <c r="H26" s="30" t="inlineStr">
        <is>
          <t>No implementado.</t>
        </is>
      </c>
      <c r="I26" s="77" t="n"/>
      <c r="J26" s="57" t="n"/>
      <c r="K26" s="58" t="n"/>
      <c r="L26" s="77" t="n"/>
      <c r="M26" s="77" t="n"/>
      <c r="N26" s="77" t="n"/>
      <c r="O26" s="77" t="n"/>
      <c r="P26" s="77" t="n"/>
      <c r="Q26" s="77" t="n"/>
      <c r="R26" s="77" t="n"/>
      <c r="S26" s="77" t="n"/>
      <c r="T26" s="77" t="n"/>
      <c r="U26" s="77" t="n"/>
      <c r="V26" s="77" t="n"/>
      <c r="W26" s="77" t="n"/>
      <c r="X26" s="77" t="n"/>
      <c r="Y26" s="77" t="n"/>
      <c r="Z26" s="77" t="n"/>
    </row>
    <row r="27" ht="15.75" customHeight="1" s="215">
      <c r="A27" s="77" t="n"/>
      <c r="B27" s="78" t="n">
        <v>16</v>
      </c>
      <c r="C27" s="231" t="inlineStr">
        <is>
          <t>NFF-VIG-REG-01 – Registro en 2 pasos</t>
        </is>
      </c>
      <c r="D27" s="77" t="n"/>
      <c r="E27" s="79" t="inlineStr">
        <is>
          <t>x</t>
        </is>
      </c>
      <c r="F27" s="30" t="n"/>
      <c r="G27" s="30" t="n"/>
      <c r="H27" s="30" t="n"/>
      <c r="I27" s="77" t="n"/>
      <c r="J27" s="57" t="n"/>
      <c r="K27" s="58" t="n"/>
      <c r="L27" s="77" t="n"/>
      <c r="M27" s="77" t="n"/>
      <c r="N27" s="77" t="n"/>
      <c r="O27" s="77" t="n"/>
      <c r="P27" s="77" t="n"/>
      <c r="Q27" s="77" t="n"/>
      <c r="R27" s="77" t="n"/>
      <c r="S27" s="77" t="n"/>
      <c r="T27" s="77" t="n"/>
      <c r="U27" s="77" t="n"/>
      <c r="V27" s="77" t="n"/>
      <c r="W27" s="77" t="n"/>
      <c r="X27" s="77" t="n"/>
      <c r="Y27" s="77" t="n"/>
      <c r="Z27" s="77" t="n"/>
    </row>
    <row r="28" ht="15.75" customHeight="1" s="215">
      <c r="A28" s="77" t="n"/>
      <c r="B28" s="78" t="n">
        <v>17</v>
      </c>
      <c r="C28" s="231" t="inlineStr">
        <is>
          <t>NFF-VIG-REG-02 – Validaciones de credenciales</t>
        </is>
      </c>
      <c r="D28" s="77" t="n"/>
      <c r="E28" s="79" t="inlineStr">
        <is>
          <t>x</t>
        </is>
      </c>
      <c r="F28" s="30" t="n"/>
      <c r="G28" s="30" t="n"/>
      <c r="H28" s="30" t="n"/>
      <c r="I28" s="77" t="n"/>
      <c r="J28" s="57" t="n"/>
      <c r="K28" s="58" t="n"/>
      <c r="L28" s="77" t="n"/>
      <c r="M28" s="77" t="n"/>
      <c r="N28" s="77" t="n"/>
      <c r="O28" s="77" t="n"/>
      <c r="P28" s="77" t="n"/>
      <c r="Q28" s="77" t="n"/>
      <c r="R28" s="77" t="n"/>
      <c r="S28" s="77" t="n"/>
      <c r="T28" s="77" t="n"/>
      <c r="U28" s="77" t="n"/>
      <c r="V28" s="77" t="n"/>
      <c r="W28" s="77" t="n"/>
      <c r="X28" s="77" t="n"/>
      <c r="Y28" s="77" t="n"/>
      <c r="Z28" s="77" t="n"/>
    </row>
    <row r="29" ht="15.75" customHeight="1" s="215">
      <c r="A29" s="77" t="n"/>
      <c r="B29" s="78" t="n">
        <v>18</v>
      </c>
      <c r="C29" s="231" t="inlineStr">
        <is>
          <t>NFF-VIG-REG-03 – Datos de identidad obligatorios</t>
        </is>
      </c>
      <c r="D29" s="77" t="n"/>
      <c r="E29" s="79" t="inlineStr">
        <is>
          <t>x</t>
        </is>
      </c>
      <c r="F29" s="30" t="n"/>
      <c r="G29" s="30" t="n"/>
      <c r="H29" s="30" t="n"/>
      <c r="I29" s="77" t="n"/>
      <c r="J29" s="57" t="n"/>
      <c r="K29" s="58" t="n"/>
      <c r="L29" s="77" t="n"/>
      <c r="M29" s="77" t="n"/>
      <c r="N29" s="77" t="n"/>
      <c r="O29" s="77" t="n"/>
      <c r="P29" s="77" t="n"/>
      <c r="Q29" s="77" t="n"/>
      <c r="R29" s="77" t="n"/>
      <c r="S29" s="77" t="n"/>
      <c r="T29" s="77" t="n"/>
      <c r="U29" s="77" t="n"/>
      <c r="V29" s="77" t="n"/>
      <c r="W29" s="77" t="n"/>
      <c r="X29" s="77" t="n"/>
      <c r="Y29" s="77" t="n"/>
      <c r="Z29" s="77" t="n"/>
    </row>
    <row r="30" ht="15.75" customHeight="1" s="215">
      <c r="A30" s="77" t="n"/>
      <c r="B30" s="78" t="n">
        <v>19</v>
      </c>
      <c r="C30" s="231" t="inlineStr">
        <is>
          <t>NFF-VIG-REG-04 – Registro backend y sanitización de errores</t>
        </is>
      </c>
      <c r="D30" s="77" t="n"/>
      <c r="E30" s="79" t="inlineStr">
        <is>
          <t>x</t>
        </is>
      </c>
      <c r="F30" s="30" t="n"/>
      <c r="G30" s="30" t="n"/>
      <c r="H30" s="30" t="n"/>
      <c r="I30" s="77" t="n"/>
      <c r="J30" s="57" t="n"/>
      <c r="K30" s="58" t="n"/>
      <c r="L30" s="77" t="n"/>
      <c r="M30" s="77" t="n"/>
      <c r="N30" s="77" t="n"/>
      <c r="O30" s="77" t="n"/>
      <c r="P30" s="77" t="n"/>
      <c r="Q30" s="77" t="n"/>
      <c r="R30" s="77" t="n"/>
      <c r="S30" s="77" t="n"/>
      <c r="T30" s="77" t="n"/>
      <c r="U30" s="77" t="n"/>
      <c r="V30" s="77" t="n"/>
      <c r="W30" s="77" t="n"/>
      <c r="X30" s="77" t="n"/>
      <c r="Y30" s="77" t="n"/>
      <c r="Z30" s="77" t="n"/>
    </row>
    <row r="31" ht="15.75" customHeight="1" s="215">
      <c r="A31" s="77" t="n"/>
      <c r="B31" s="78" t="n">
        <v>20</v>
      </c>
      <c r="C31" s="231" t="inlineStr">
        <is>
          <t>NFF-VIG-REG-05 – OAuth social en registro</t>
        </is>
      </c>
      <c r="D31" s="77" t="n"/>
      <c r="E31" s="79" t="n"/>
      <c r="F31" s="30" t="n"/>
      <c r="G31" s="30" t="inlineStr">
        <is>
          <t>x</t>
        </is>
      </c>
      <c r="H31" s="30" t="inlineStr">
        <is>
          <t>No implementado.</t>
        </is>
      </c>
      <c r="I31" s="77" t="n"/>
      <c r="J31" s="57" t="n"/>
      <c r="K31" s="58" t="n"/>
      <c r="L31" s="77" t="n"/>
      <c r="M31" s="77" t="n"/>
      <c r="N31" s="77" t="n"/>
      <c r="O31" s="77" t="n"/>
      <c r="P31" s="77" t="n"/>
      <c r="Q31" s="77" t="n"/>
      <c r="R31" s="77" t="n"/>
      <c r="S31" s="77" t="n"/>
      <c r="T31" s="77" t="n"/>
      <c r="U31" s="77" t="n"/>
      <c r="V31" s="77" t="n"/>
      <c r="W31" s="77" t="n"/>
      <c r="X31" s="77" t="n"/>
      <c r="Y31" s="77" t="n"/>
      <c r="Z31" s="77" t="n"/>
    </row>
    <row r="32" ht="15.75" customHeight="1" s="215">
      <c r="A32" s="77" t="n"/>
      <c r="B32" s="78" t="n">
        <v>21</v>
      </c>
      <c r="C32" s="231" t="inlineStr">
        <is>
          <t>NFF-VIG-REST-01 – Entrada por query param</t>
        </is>
      </c>
      <c r="D32" s="77" t="n"/>
      <c r="E32" s="79" t="inlineStr">
        <is>
          <t>x</t>
        </is>
      </c>
      <c r="F32" s="30" t="n"/>
      <c r="G32" s="30" t="n"/>
      <c r="H32" s="30" t="n"/>
      <c r="I32" s="77" t="n"/>
      <c r="J32" s="57" t="n"/>
      <c r="K32" s="58" t="n"/>
      <c r="L32" s="77" t="n"/>
      <c r="M32" s="77" t="n"/>
      <c r="N32" s="77" t="n"/>
      <c r="O32" s="77" t="n"/>
      <c r="P32" s="77" t="n"/>
      <c r="Q32" s="77" t="n"/>
      <c r="R32" s="77" t="n"/>
      <c r="S32" s="77" t="n"/>
      <c r="T32" s="77" t="n"/>
      <c r="U32" s="77" t="n"/>
      <c r="V32" s="77" t="n"/>
      <c r="W32" s="77" t="n"/>
      <c r="X32" s="77" t="n"/>
      <c r="Y32" s="77" t="n"/>
      <c r="Z32" s="77" t="n"/>
    </row>
    <row r="33" ht="15.75" customHeight="1" s="215">
      <c r="A33" s="77" t="n"/>
      <c r="B33" s="78" t="n">
        <v>22</v>
      </c>
      <c r="C33" s="231" t="inlineStr">
        <is>
          <t>NFF-VIG-REST-02 – Carga de datos y estados</t>
        </is>
      </c>
      <c r="D33" s="77" t="n"/>
      <c r="E33" s="79" t="inlineStr">
        <is>
          <t>x</t>
        </is>
      </c>
      <c r="F33" s="30" t="n"/>
      <c r="G33" s="30" t="n"/>
      <c r="H33" s="30" t="n"/>
      <c r="I33" s="77" t="n"/>
      <c r="J33" s="57" t="n"/>
      <c r="K33" s="58" t="n"/>
      <c r="L33" s="77" t="n"/>
      <c r="M33" s="77" t="n"/>
      <c r="N33" s="77" t="n"/>
      <c r="O33" s="77" t="n"/>
      <c r="P33" s="77" t="n"/>
      <c r="Q33" s="77" t="n"/>
      <c r="R33" s="77" t="n"/>
      <c r="S33" s="77" t="n"/>
      <c r="T33" s="77" t="n"/>
      <c r="U33" s="77" t="n"/>
      <c r="V33" s="77" t="n"/>
      <c r="W33" s="77" t="n"/>
      <c r="X33" s="77" t="n"/>
      <c r="Y33" s="77" t="n"/>
      <c r="Z33" s="77" t="n"/>
    </row>
    <row r="34" ht="15.75" customHeight="1" s="215">
      <c r="A34" s="77" t="n"/>
      <c r="B34" s="78" t="n">
        <v>23</v>
      </c>
      <c r="C34" s="231" t="inlineStr">
        <is>
          <t>NFF-VIG-REST-03 – Navegación superior contextual</t>
        </is>
      </c>
      <c r="D34" s="77" t="n"/>
      <c r="E34" s="79" t="inlineStr">
        <is>
          <t>x</t>
        </is>
      </c>
      <c r="F34" s="30" t="n"/>
      <c r="G34" s="30" t="n"/>
      <c r="H34" s="30" t="n"/>
      <c r="I34" s="77" t="n"/>
      <c r="J34" s="57" t="n"/>
      <c r="K34" s="58" t="n"/>
      <c r="L34" s="77" t="n"/>
      <c r="M34" s="77" t="n"/>
      <c r="N34" s="77" t="n"/>
      <c r="O34" s="77" t="n"/>
      <c r="P34" s="77" t="n"/>
      <c r="Q34" s="77" t="n"/>
      <c r="R34" s="77" t="n"/>
      <c r="S34" s="77" t="n"/>
      <c r="T34" s="77" t="n"/>
      <c r="U34" s="77" t="n"/>
      <c r="V34" s="77" t="n"/>
      <c r="W34" s="77" t="n"/>
      <c r="X34" s="77" t="n"/>
      <c r="Y34" s="77" t="n"/>
      <c r="Z34" s="77" t="n"/>
    </row>
    <row r="35" ht="15.75" customHeight="1" s="215">
      <c r="A35" s="77" t="n"/>
      <c r="B35" s="78" t="n">
        <v>24</v>
      </c>
      <c r="C35" s="231" t="inlineStr">
        <is>
          <t>NFF-VIG-REST-04 – Pestañas de detalle</t>
        </is>
      </c>
      <c r="D35" s="77" t="n"/>
      <c r="E35" s="79" t="inlineStr">
        <is>
          <t>x</t>
        </is>
      </c>
      <c r="F35" s="30" t="n"/>
      <c r="G35" s="30" t="n"/>
      <c r="H35" s="30" t="n"/>
      <c r="I35" s="77" t="n"/>
      <c r="J35" s="57" t="n"/>
      <c r="K35" s="58" t="n"/>
      <c r="L35" s="77" t="n"/>
      <c r="M35" s="77" t="n"/>
      <c r="N35" s="77" t="n"/>
      <c r="O35" s="77" t="n"/>
      <c r="P35" s="77" t="n"/>
      <c r="Q35" s="77" t="n"/>
      <c r="R35" s="77" t="n"/>
      <c r="S35" s="77" t="n"/>
      <c r="T35" s="77" t="n"/>
      <c r="U35" s="77" t="n"/>
      <c r="V35" s="77" t="n"/>
      <c r="W35" s="77" t="n"/>
      <c r="X35" s="77" t="n"/>
      <c r="Y35" s="77" t="n"/>
      <c r="Z35" s="77" t="n"/>
    </row>
    <row r="36" ht="15.75" customHeight="1" s="215">
      <c r="A36" s="77" t="n"/>
      <c r="B36" s="78" t="n">
        <v>25</v>
      </c>
      <c r="C36" s="231" t="inlineStr">
        <is>
          <t>NFF-VIG-REST-05 – Reserva guiada y validada</t>
        </is>
      </c>
      <c r="D36" s="77" t="n"/>
      <c r="E36" s="79" t="inlineStr">
        <is>
          <t>x</t>
        </is>
      </c>
      <c r="F36" s="30" t="n"/>
      <c r="G36" s="30" t="n"/>
      <c r="H36" s="30" t="n"/>
      <c r="I36" s="77" t="n"/>
      <c r="J36" s="57" t="n"/>
      <c r="K36" s="58" t="n"/>
      <c r="L36" s="77" t="n"/>
      <c r="M36" s="77" t="n"/>
      <c r="N36" s="77" t="n"/>
      <c r="O36" s="77" t="n"/>
      <c r="P36" s="77" t="n"/>
      <c r="Q36" s="77" t="n"/>
      <c r="R36" s="77" t="n"/>
      <c r="S36" s="77" t="n"/>
      <c r="T36" s="77" t="n"/>
      <c r="U36" s="77" t="n"/>
      <c r="V36" s="77" t="n"/>
      <c r="W36" s="77" t="n"/>
      <c r="X36" s="77" t="n"/>
      <c r="Y36" s="77" t="n"/>
      <c r="Z36" s="77" t="n"/>
    </row>
    <row r="37" ht="15.75" customHeight="1" s="215">
      <c r="A37" s="77" t="n"/>
      <c r="B37" s="78" t="n">
        <v>26</v>
      </c>
      <c r="C37" s="231" t="inlineStr">
        <is>
          <t>NFF-VIG-REST-06 – Creación de reserva previa al pago</t>
        </is>
      </c>
      <c r="D37" s="77" t="n"/>
      <c r="E37" s="79" t="inlineStr">
        <is>
          <t>x</t>
        </is>
      </c>
      <c r="F37" s="30" t="n"/>
      <c r="G37" s="30" t="n"/>
      <c r="H37" s="30" t="n"/>
      <c r="I37" s="77" t="n"/>
      <c r="J37" s="57" t="n"/>
      <c r="K37" s="58" t="n"/>
      <c r="L37" s="77" t="n"/>
      <c r="M37" s="77" t="n"/>
      <c r="N37" s="77" t="n"/>
      <c r="O37" s="77" t="n"/>
      <c r="P37" s="77" t="n"/>
      <c r="Q37" s="77" t="n"/>
      <c r="R37" s="77" t="n"/>
      <c r="S37" s="77" t="n"/>
      <c r="T37" s="77" t="n"/>
      <c r="U37" s="77" t="n"/>
      <c r="V37" s="77" t="n"/>
      <c r="W37" s="77" t="n"/>
      <c r="X37" s="77" t="n"/>
      <c r="Y37" s="77" t="n"/>
      <c r="Z37" s="77" t="n"/>
    </row>
    <row r="38" ht="15.75" customHeight="1" s="215">
      <c r="A38" s="77" t="n"/>
      <c r="B38" s="78" t="n">
        <v>27</v>
      </c>
      <c r="C38" s="231" t="inlineStr">
        <is>
          <t>NFF-VIG-PAY-01 – Guard de pasarela</t>
        </is>
      </c>
      <c r="D38" s="77" t="n"/>
      <c r="E38" s="79" t="inlineStr">
        <is>
          <t>x</t>
        </is>
      </c>
      <c r="F38" s="30" t="n"/>
      <c r="G38" s="30" t="n"/>
      <c r="H38" s="30" t="n"/>
      <c r="I38" s="77" t="n"/>
      <c r="J38" s="57" t="n"/>
      <c r="K38" s="58" t="n"/>
      <c r="L38" s="77" t="n"/>
      <c r="M38" s="77" t="n"/>
      <c r="N38" s="77" t="n"/>
      <c r="O38" s="77" t="n"/>
      <c r="P38" s="77" t="n"/>
      <c r="Q38" s="77" t="n"/>
      <c r="R38" s="77" t="n"/>
      <c r="S38" s="77" t="n"/>
      <c r="T38" s="77" t="n"/>
      <c r="U38" s="77" t="n"/>
      <c r="V38" s="77" t="n"/>
      <c r="W38" s="77" t="n"/>
      <c r="X38" s="77" t="n"/>
      <c r="Y38" s="77" t="n"/>
      <c r="Z38" s="77" t="n"/>
    </row>
    <row r="39" ht="15.75" customHeight="1" s="215">
      <c r="A39" s="77" t="n"/>
      <c r="B39" s="78" t="n">
        <v>28</v>
      </c>
      <c r="C39" s="231" t="inlineStr">
        <is>
          <t>NFF-VIG-PAY-02 – Checkout canónico</t>
        </is>
      </c>
      <c r="D39" s="77" t="n"/>
      <c r="E39" s="79" t="inlineStr">
        <is>
          <t>x</t>
        </is>
      </c>
      <c r="F39" s="30" t="n"/>
      <c r="G39" s="30" t="n"/>
      <c r="H39" s="30" t="n"/>
      <c r="I39" s="77" t="n"/>
      <c r="J39" s="57" t="n"/>
      <c r="K39" s="58" t="n"/>
      <c r="L39" s="77" t="n"/>
      <c r="M39" s="77" t="n"/>
      <c r="N39" s="77" t="n"/>
      <c r="O39" s="77" t="n"/>
      <c r="P39" s="77" t="n"/>
      <c r="Q39" s="77" t="n"/>
      <c r="R39" s="77" t="n"/>
      <c r="S39" s="77" t="n"/>
      <c r="T39" s="77" t="n"/>
      <c r="U39" s="77" t="n"/>
      <c r="V39" s="77" t="n"/>
      <c r="W39" s="77" t="n"/>
      <c r="X39" s="77" t="n"/>
      <c r="Y39" s="77" t="n"/>
      <c r="Z39" s="77" t="n"/>
    </row>
    <row r="40" ht="15.75" customHeight="1" s="215">
      <c r="A40" s="77" t="n"/>
      <c r="B40" s="78" t="n">
        <v>29</v>
      </c>
      <c r="C40" s="231" t="inlineStr">
        <is>
          <t>NFF-VIG-PAY-03 – Validación de tarjeta</t>
        </is>
      </c>
      <c r="D40" s="77" t="n"/>
      <c r="E40" s="79" t="inlineStr">
        <is>
          <t>x</t>
        </is>
      </c>
      <c r="F40" s="30" t="n"/>
      <c r="G40" s="30" t="n"/>
      <c r="H40" s="30" t="n"/>
      <c r="I40" s="77" t="n"/>
      <c r="J40" s="57" t="n"/>
      <c r="K40" s="58" t="n"/>
      <c r="L40" s="77" t="n"/>
      <c r="M40" s="77" t="n"/>
      <c r="N40" s="77" t="n"/>
      <c r="O40" s="77" t="n"/>
      <c r="P40" s="77" t="n"/>
      <c r="Q40" s="77" t="n"/>
      <c r="R40" s="77" t="n"/>
      <c r="S40" s="77" t="n"/>
      <c r="T40" s="77" t="n"/>
      <c r="U40" s="77" t="n"/>
      <c r="V40" s="77" t="n"/>
      <c r="W40" s="77" t="n"/>
      <c r="X40" s="77" t="n"/>
      <c r="Y40" s="77" t="n"/>
      <c r="Z40" s="77" t="n"/>
    </row>
    <row r="41" ht="15.75" customHeight="1" s="215">
      <c r="A41" s="77" t="n"/>
      <c r="B41" s="78" t="n">
        <v>30</v>
      </c>
      <c r="C41" s="231" t="inlineStr">
        <is>
          <t>NFF-VIG-PAY-04 – Integración Wompi</t>
        </is>
      </c>
      <c r="D41" s="77" t="n"/>
      <c r="E41" s="79" t="inlineStr">
        <is>
          <t>x</t>
        </is>
      </c>
      <c r="F41" s="30" t="n"/>
      <c r="G41" s="30" t="n"/>
      <c r="H41" s="30" t="n"/>
      <c r="I41" s="77" t="n"/>
      <c r="J41" s="57" t="n"/>
      <c r="K41" s="58" t="n"/>
      <c r="L41" s="77" t="n"/>
      <c r="M41" s="77" t="n"/>
      <c r="N41" s="77" t="n"/>
      <c r="O41" s="77" t="n"/>
      <c r="P41" s="77" t="n"/>
      <c r="Q41" s="77" t="n"/>
      <c r="R41" s="77" t="n"/>
      <c r="S41" s="77" t="n"/>
      <c r="T41" s="77" t="n"/>
      <c r="U41" s="77" t="n"/>
      <c r="V41" s="77" t="n"/>
      <c r="W41" s="77" t="n"/>
      <c r="X41" s="77" t="n"/>
      <c r="Y41" s="77" t="n"/>
      <c r="Z41" s="77" t="n"/>
    </row>
    <row r="42" ht="15.75" customHeight="1" s="215">
      <c r="A42" s="77" t="n"/>
      <c r="B42" s="78" t="n">
        <v>31</v>
      </c>
      <c r="C42" s="231" t="inlineStr">
        <is>
          <t>NFF-VIG-PAY-05 – Polling de transacción</t>
        </is>
      </c>
      <c r="D42" s="77" t="n"/>
      <c r="E42" s="79" t="inlineStr">
        <is>
          <t>x</t>
        </is>
      </c>
      <c r="F42" s="30" t="n"/>
      <c r="G42" s="30" t="n"/>
      <c r="H42" s="30" t="n"/>
      <c r="I42" s="77" t="n"/>
      <c r="J42" s="57" t="n"/>
      <c r="K42" s="58" t="n"/>
      <c r="L42" s="77" t="n"/>
      <c r="M42" s="77" t="n"/>
      <c r="N42" s="77" t="n"/>
      <c r="O42" s="77" t="n"/>
      <c r="P42" s="77" t="n"/>
      <c r="Q42" s="77" t="n"/>
      <c r="R42" s="77" t="n"/>
      <c r="S42" s="77" t="n"/>
      <c r="T42" s="77" t="n"/>
      <c r="U42" s="77" t="n"/>
      <c r="V42" s="77" t="n"/>
      <c r="W42" s="77" t="n"/>
      <c r="X42" s="77" t="n"/>
      <c r="Y42" s="77" t="n"/>
      <c r="Z42" s="77" t="n"/>
    </row>
    <row r="43" ht="15.75" customHeight="1" s="215">
      <c r="A43" s="77" t="n"/>
      <c r="B43" s="78" t="n">
        <v>32</v>
      </c>
      <c r="C43" s="231" t="inlineStr">
        <is>
          <t>NFF-VIG-PAY-06 – Limpieza y cierre de flujo</t>
        </is>
      </c>
      <c r="D43" s="77" t="n"/>
      <c r="E43" s="79" t="inlineStr">
        <is>
          <t>x</t>
        </is>
      </c>
      <c r="F43" s="30" t="n"/>
      <c r="G43" s="30" t="n"/>
      <c r="H43" s="30" t="n"/>
      <c r="I43" s="77" t="n"/>
      <c r="J43" s="57" t="n"/>
      <c r="K43" s="58" t="n"/>
      <c r="L43" s="77" t="n"/>
      <c r="M43" s="77" t="n"/>
      <c r="N43" s="77" t="n"/>
      <c r="O43" s="77" t="n"/>
      <c r="P43" s="77" t="n"/>
      <c r="Q43" s="77" t="n"/>
      <c r="R43" s="77" t="n"/>
      <c r="S43" s="77" t="n"/>
      <c r="T43" s="77" t="n"/>
      <c r="U43" s="77" t="n"/>
      <c r="V43" s="77" t="n"/>
      <c r="W43" s="77" t="n"/>
      <c r="X43" s="77" t="n"/>
      <c r="Y43" s="77" t="n"/>
      <c r="Z43" s="77" t="n"/>
    </row>
    <row r="44" ht="15.75" customHeight="1" s="215">
      <c r="A44" s="77" t="n"/>
      <c r="B44" s="78" t="n">
        <v>33</v>
      </c>
      <c r="C44" s="231" t="inlineStr">
        <is>
          <t>NFF-VIG-PAY-07 – Pantalla de pago exitoso (Wompi async / retorno)</t>
        </is>
      </c>
      <c r="D44" s="77" t="n"/>
      <c r="E44" s="79" t="inlineStr">
        <is>
          <t>x</t>
        </is>
      </c>
      <c r="F44" s="30" t="n"/>
      <c r="G44" s="30" t="n"/>
      <c r="H44" s="30" t="n"/>
      <c r="I44" s="77" t="n"/>
      <c r="J44" s="57" t="n"/>
      <c r="K44" s="58" t="n"/>
      <c r="L44" s="77" t="n"/>
      <c r="M44" s="77" t="n"/>
      <c r="N44" s="77" t="n"/>
      <c r="O44" s="77" t="n"/>
      <c r="P44" s="77" t="n"/>
      <c r="Q44" s="77" t="n"/>
      <c r="R44" s="77" t="n"/>
      <c r="S44" s="77" t="n"/>
      <c r="T44" s="77" t="n"/>
      <c r="U44" s="77" t="n"/>
      <c r="V44" s="77" t="n"/>
      <c r="W44" s="77" t="n"/>
      <c r="X44" s="77" t="n"/>
      <c r="Y44" s="77" t="n"/>
      <c r="Z44" s="77" t="n"/>
    </row>
    <row r="45" ht="15.75" customHeight="1" s="215">
      <c r="A45" s="77" t="n"/>
      <c r="B45" s="78" t="n">
        <v>34</v>
      </c>
      <c r="C45" s="231" t="inlineStr">
        <is>
          <t>NFF-VIG-CLIENT-01 – Sin dashboard dedicado para cliente; Home como hub</t>
        </is>
      </c>
      <c r="D45" s="77" t="n"/>
      <c r="E45" s="79" t="inlineStr">
        <is>
          <t>x</t>
        </is>
      </c>
      <c r="F45" s="30" t="n"/>
      <c r="G45" s="30" t="n"/>
      <c r="H45" s="30" t="n"/>
      <c r="I45" s="77" t="n"/>
      <c r="J45" s="57" t="n"/>
      <c r="K45" s="58" t="n"/>
      <c r="L45" s="77" t="n"/>
      <c r="M45" s="77" t="n"/>
      <c r="N45" s="77" t="n"/>
      <c r="O45" s="77" t="n"/>
      <c r="P45" s="77" t="n"/>
      <c r="Q45" s="77" t="n"/>
      <c r="R45" s="77" t="n"/>
      <c r="S45" s="77" t="n"/>
      <c r="T45" s="77" t="n"/>
      <c r="U45" s="77" t="n"/>
      <c r="V45" s="77" t="n"/>
      <c r="W45" s="77" t="n"/>
      <c r="X45" s="77" t="n"/>
      <c r="Y45" s="77" t="n"/>
      <c r="Z45" s="77" t="n"/>
    </row>
    <row r="46" ht="15.75" customHeight="1" s="215">
      <c r="A46" s="77" t="n"/>
      <c r="B46" s="78" t="n">
        <v>35</v>
      </c>
      <c r="C46" s="231" t="inlineStr">
        <is>
          <t>NFF-VIG-CLIENT-02 – Perfil, reservas y cancelación vía modal</t>
        </is>
      </c>
      <c r="D46" s="77" t="n"/>
      <c r="E46" s="79" t="inlineStr">
        <is>
          <t>x</t>
        </is>
      </c>
      <c r="F46" s="30" t="n"/>
      <c r="G46" s="30" t="n"/>
      <c r="H46" s="30" t="n"/>
      <c r="I46" s="77" t="n"/>
      <c r="J46" s="57" t="n"/>
      <c r="K46" s="58" t="n"/>
      <c r="L46" s="77" t="n"/>
      <c r="M46" s="77" t="n"/>
      <c r="N46" s="77" t="n"/>
      <c r="O46" s="77" t="n"/>
      <c r="P46" s="77" t="n"/>
      <c r="Q46" s="77" t="n"/>
      <c r="R46" s="77" t="n"/>
      <c r="S46" s="77" t="n"/>
      <c r="T46" s="77" t="n"/>
      <c r="U46" s="77" t="n"/>
      <c r="V46" s="77" t="n"/>
      <c r="W46" s="77" t="n"/>
      <c r="X46" s="77" t="n"/>
      <c r="Y46" s="77" t="n"/>
      <c r="Z46" s="77" t="n"/>
    </row>
    <row r="47" ht="15.75" customHeight="1" s="215">
      <c r="A47" s="77" t="n"/>
      <c r="B47" s="78" t="n">
        <v>36</v>
      </c>
      <c r="C47" s="231" t="inlineStr">
        <is>
          <t>NFF-VIG-CLIENT-03 – Página `/Datos_personales`</t>
        </is>
      </c>
      <c r="D47" s="77" t="n"/>
      <c r="E47" s="79" t="n"/>
      <c r="F47" s="30" t="inlineStr">
        <is>
          <t>x</t>
        </is>
      </c>
      <c r="G47" s="30" t="n"/>
      <c r="H47" s="30" t="inlineStr">
        <is>
          <t>Parcial (placeholder).</t>
        </is>
      </c>
      <c r="I47" s="77" t="n"/>
      <c r="J47" s="57" t="n"/>
      <c r="K47" s="58" t="n"/>
      <c r="L47" s="77" t="n"/>
      <c r="M47" s="77" t="n"/>
      <c r="N47" s="77" t="n"/>
      <c r="O47" s="77" t="n"/>
      <c r="P47" s="77" t="n"/>
      <c r="Q47" s="77" t="n"/>
      <c r="R47" s="77" t="n"/>
      <c r="S47" s="77" t="n"/>
      <c r="T47" s="77" t="n"/>
      <c r="U47" s="77" t="n"/>
      <c r="V47" s="77" t="n"/>
      <c r="W47" s="77" t="n"/>
      <c r="X47" s="77" t="n"/>
      <c r="Y47" s="77" t="n"/>
      <c r="Z47" s="77" t="n"/>
    </row>
    <row r="48" ht="15.75" customHeight="1" s="215">
      <c r="A48" s="77" t="n"/>
      <c r="B48" s="78" t="n">
        <v>37</v>
      </c>
      <c r="C48" s="231" t="inlineStr">
        <is>
          <t>NFF-VIG-APP-01 – Cookies, CORS-friendly y enforcer de rol</t>
        </is>
      </c>
      <c r="D48" s="77" t="n"/>
      <c r="E48" s="79" t="inlineStr">
        <is>
          <t>x</t>
        </is>
      </c>
      <c r="F48" s="30" t="n"/>
      <c r="G48" s="30" t="n"/>
      <c r="H48" s="30" t="n"/>
      <c r="I48" s="77" t="n"/>
      <c r="J48" s="57" t="n"/>
      <c r="K48" s="58" t="n"/>
      <c r="L48" s="77" t="n"/>
      <c r="M48" s="77" t="n"/>
      <c r="N48" s="77" t="n"/>
      <c r="O48" s="77" t="n"/>
      <c r="P48" s="77" t="n"/>
      <c r="Q48" s="77" t="n"/>
      <c r="R48" s="77" t="n"/>
      <c r="S48" s="77" t="n"/>
      <c r="T48" s="77" t="n"/>
      <c r="U48" s="77" t="n"/>
      <c r="V48" s="77" t="n"/>
      <c r="W48" s="77" t="n"/>
      <c r="X48" s="77" t="n"/>
      <c r="Y48" s="77" t="n"/>
      <c r="Z48" s="77" t="n"/>
    </row>
    <row r="49" ht="15.75" customHeight="1" s="215">
      <c r="B49" s="82" t="n">
        <v>38</v>
      </c>
      <c r="C49" s="81" t="inlineStr">
        <is>
          <t>UI-01g – Usar fondos suaves derivados de `--muted` para secciones.</t>
        </is>
      </c>
      <c r="E49" s="79" t="inlineStr">
        <is>
          <t>x</t>
        </is>
      </c>
      <c r="F49" s="57" t="n"/>
      <c r="G49" s="57" t="n"/>
      <c r="H49" s="57" t="n"/>
    </row>
    <row r="50" ht="15.75" customHeight="1" s="215">
      <c r="B50" s="82" t="n">
        <v>39</v>
      </c>
      <c r="C50" s="81" t="inlineStr">
        <is>
          <t>UI-02a – En modo oscuro, el fondo principal debe ser `#121212`.</t>
        </is>
      </c>
      <c r="E50" s="79" t="inlineStr">
        <is>
          <t>x</t>
        </is>
      </c>
      <c r="F50" s="57" t="n"/>
      <c r="G50" s="57" t="n"/>
      <c r="H50" s="57" t="n"/>
    </row>
    <row r="51" ht="15.75" customHeight="1" s="215">
      <c r="B51" s="82" t="n">
        <v>40</v>
      </c>
      <c r="C51" s="81" t="inlineStr">
        <is>
          <t>UI-02b – En modo oscuro, el texto principal debe ser `#E0E0E0`.</t>
        </is>
      </c>
      <c r="E51" s="79" t="inlineStr">
        <is>
          <t>x</t>
        </is>
      </c>
      <c r="F51" s="57" t="n"/>
      <c r="G51" s="57" t="n"/>
      <c r="H51" s="57" t="n"/>
    </row>
    <row r="52" ht="15.75" customHeight="1" s="215">
      <c r="B52" s="82" t="n">
        <v>41</v>
      </c>
      <c r="C52" s="81" t="inlineStr">
        <is>
          <t>UI-02c – En modo oscuro, el primario debe ser `#8E1616`.</t>
        </is>
      </c>
      <c r="E52" s="79" t="inlineStr">
        <is>
          <t>x</t>
        </is>
      </c>
      <c r="F52" s="57" t="n"/>
      <c r="G52" s="57" t="n"/>
      <c r="H52" s="57" t="n"/>
    </row>
    <row r="53" ht="15.75" customHeight="1" s="215">
      <c r="B53" s="82" t="n">
        <v>42</v>
      </c>
      <c r="C53" s="81" t="inlineStr">
        <is>
          <t>UI-02d – En modo oscuro, el secundario debe ser `#C5A059`.</t>
        </is>
      </c>
      <c r="E53" s="79" t="inlineStr">
        <is>
          <t>x</t>
        </is>
      </c>
      <c r="F53" s="57" t="n"/>
      <c r="G53" s="57" t="n"/>
      <c r="H53" s="57" t="n"/>
    </row>
    <row r="54" ht="15.75" customHeight="1" s="215">
      <c r="B54" s="82" t="n">
        <v>43</v>
      </c>
      <c r="C54" s="81" t="inlineStr">
        <is>
          <t>UI-02e – En modo oscuro, el acento debe ser `#FFBF00`.</t>
        </is>
      </c>
      <c r="E54" s="79" t="inlineStr">
        <is>
          <t>x</t>
        </is>
      </c>
      <c r="F54" s="57" t="n"/>
      <c r="G54" s="57" t="n"/>
      <c r="H54" s="57" t="n"/>
    </row>
    <row r="55" ht="15.75" customHeight="1" s="215">
      <c r="B55" s="82" t="n">
        <v>44</v>
      </c>
      <c r="C55" s="81" t="inlineStr">
        <is>
          <t>UI-02f – En modo oscuro, las tarjetas deben ser `#1A1A1A`.</t>
        </is>
      </c>
      <c r="E55" s="79" t="inlineStr">
        <is>
          <t>x</t>
        </is>
      </c>
      <c r="F55" s="57" t="n"/>
      <c r="G55" s="57" t="n"/>
      <c r="H55" s="57" t="n"/>
    </row>
    <row r="56" ht="15.75" customHeight="1" s="215">
      <c r="B56" s="82" t="n">
        <v>45</v>
      </c>
      <c r="C56" s="81" t="inlineStr">
        <is>
          <t>UI-03a – Los cards de destacados deben usar fondo `--card`.</t>
        </is>
      </c>
      <c r="E56" s="79" t="inlineStr">
        <is>
          <t>x</t>
        </is>
      </c>
      <c r="F56" s="57" t="n"/>
      <c r="G56" s="57" t="n"/>
      <c r="H56" s="57" t="n"/>
    </row>
    <row r="57" ht="15.75" customHeight="1" s="215">
      <c r="B57" s="82" t="n">
        <v>46</v>
      </c>
      <c r="C57" s="81" t="inlineStr">
        <is>
          <t>UI-03b – Los cards de destacados deben resaltar borde en hover hacia `--primary`.</t>
        </is>
      </c>
      <c r="E57" s="79" t="inlineStr">
        <is>
          <t>x</t>
        </is>
      </c>
      <c r="F57" s="57" t="n"/>
      <c r="G57" s="57" t="n"/>
      <c r="H57" s="57" t="n"/>
    </row>
    <row r="58" ht="15.75" customHeight="1" s="215">
      <c r="B58" s="82" t="n">
        <v>47</v>
      </c>
      <c r="C58" s="81" t="inlineStr">
        <is>
          <t>UI-03c – Botón principal de destacados debe usar `--primary`.</t>
        </is>
      </c>
      <c r="E58" s="79" t="inlineStr">
        <is>
          <t>x</t>
        </is>
      </c>
      <c r="F58" s="71" t="n"/>
      <c r="G58" s="71" t="n"/>
      <c r="H58" s="71" t="n"/>
    </row>
    <row r="59" ht="15.75" customHeight="1" s="215">
      <c r="B59" s="82" t="n">
        <v>48</v>
      </c>
      <c r="C59" s="81" t="inlineStr">
        <is>
          <t>UI-03d – La disponibilidad positiva debe resaltarse visualmente.</t>
        </is>
      </c>
      <c r="E59" s="79" t="inlineStr">
        <is>
          <t>x</t>
        </is>
      </c>
      <c r="F59" s="57" t="n"/>
      <c r="G59" s="57" t="n"/>
      <c r="H59" s="57" t="n"/>
    </row>
    <row r="60" ht="15.75" customHeight="1" s="215">
      <c r="B60" s="82" t="n">
        <v>49</v>
      </c>
      <c r="C60" s="81" t="inlineStr">
        <is>
          <t>UI-04a – Tarjeta “Reserva Instantánea” debe usar `bg-primary/20` e icono `text-primary`.</t>
        </is>
      </c>
      <c r="E60" s="79" t="inlineStr">
        <is>
          <t>x</t>
        </is>
      </c>
      <c r="F60" s="71" t="n"/>
      <c r="G60" s="71" t="n"/>
      <c r="H60" s="71" t="n"/>
    </row>
    <row r="61" ht="15.75" customHeight="1" s="215">
      <c r="B61" s="70" t="n">
        <v>50</v>
      </c>
      <c r="C61" s="81" t="inlineStr">
        <is>
          <t>UI-04b – Tarjeta “Para Todos” debe usar `bg-accent/20` e icono `text-accent`.</t>
        </is>
      </c>
      <c r="E61" s="79" t="inlineStr">
        <is>
          <t>x</t>
        </is>
      </c>
      <c r="F61" s="71" t="n"/>
      <c r="G61" s="71" t="n"/>
      <c r="H61" s="71" t="n"/>
    </row>
    <row r="62" ht="15.75" customHeight="1" s="215">
      <c r="B62" s="70" t="n">
        <v>51</v>
      </c>
      <c r="C62" s="81" t="inlineStr">
        <is>
          <t>UI-04c – Tarjeta “Los Mejores” debe usar `bg-secondary/20` e icono `text-secondary`.</t>
        </is>
      </c>
      <c r="E62" s="79" t="inlineStr">
        <is>
          <t>x</t>
        </is>
      </c>
      <c r="F62" s="57" t="n"/>
      <c r="G62" s="57" t="n"/>
      <c r="H62" s="57" t="n"/>
    </row>
    <row r="63" ht="15.75" customHeight="1" s="215">
      <c r="B63" s="70" t="n">
        <v>52</v>
      </c>
      <c r="C63" s="81" t="inlineStr">
        <is>
          <t>UI-05a – La barra de búsqueda debe resaltar foco con `--primary`.</t>
        </is>
      </c>
      <c r="E63" s="79" t="inlineStr">
        <is>
          <t>x</t>
        </is>
      </c>
      <c r="F63" s="57" t="n"/>
      <c r="G63" s="57" t="n"/>
      <c r="H63" s="57" t="n"/>
    </row>
    <row r="64" ht="15.75" customHeight="1" s="215">
      <c r="B64" s="70" t="n">
        <v>53</v>
      </c>
      <c r="C64" s="81" t="inlineStr">
        <is>
          <t>UI-05b – El botón “Buscar” debe usar gradiente `from-primary to-secondary`.</t>
        </is>
      </c>
      <c r="E64" s="79" t="inlineStr">
        <is>
          <t>x</t>
        </is>
      </c>
      <c r="F64" s="57" t="n"/>
      <c r="G64" s="57" t="n"/>
      <c r="H64" s="57" t="n"/>
    </row>
    <row r="65" ht="15.75" customHeight="1" s="215">
      <c r="B65" s="70" t="n">
        <v>54</v>
      </c>
      <c r="C65" s="81" t="inlineStr">
        <is>
          <t>UI-05c – Las sugerencias deben mostrarse en panel flotante bajo el input.</t>
        </is>
      </c>
      <c r="E65" s="79" t="inlineStr">
        <is>
          <t>x</t>
        </is>
      </c>
      <c r="F65" s="57" t="n"/>
      <c r="G65" s="57" t="n"/>
      <c r="H65" s="57" t="n"/>
    </row>
    <row r="66" ht="15.75" customHeight="1" s="215">
      <c r="B66" s="70" t="n">
        <v>55</v>
      </c>
      <c r="C66" s="81" t="inlineStr">
        <is>
          <t>UI-06a – Las tarjetas de tipos de cocina deben ser “cards” clicables.</t>
        </is>
      </c>
      <c r="E66" s="79" t="inlineStr">
        <is>
          <t>x</t>
        </is>
      </c>
      <c r="F66" s="57" t="n"/>
      <c r="G66" s="57" t="n"/>
      <c r="H66" s="57" t="n"/>
    </row>
    <row r="67" ht="15.75" customHeight="1" s="215">
      <c r="B67" s="70" t="n">
        <v>56</v>
      </c>
      <c r="C67" s="81" t="inlineStr">
        <is>
          <t>UI-06b – Las tarjetas de tipos de cocina deben usar combinaciones de color suaves por categoría.</t>
        </is>
      </c>
      <c r="E67" s="79" t="inlineStr">
        <is>
          <t>x</t>
        </is>
      </c>
      <c r="F67" s="57" t="n"/>
      <c r="G67" s="57" t="n"/>
      <c r="H67" s="57" t="n"/>
    </row>
    <row r="68" ht="15.75" customHeight="1" s="215">
      <c r="B68" s="70" t="n">
        <v>57</v>
      </c>
      <c r="C68" s="81" t="inlineStr">
        <is>
          <t>UI-07a – El hero debe usar gradiente con `primary/background/accent`.</t>
        </is>
      </c>
      <c r="E68" s="79" t="inlineStr">
        <is>
          <t>x</t>
        </is>
      </c>
      <c r="F68" s="57" t="n"/>
      <c r="G68" s="57" t="n"/>
      <c r="H68" s="57" t="n"/>
    </row>
    <row r="69" ht="15.75" customHeight="1" s="215">
      <c r="B69" s="70" t="n">
        <v>58</v>
      </c>
      <c r="C69" s="81" t="inlineStr">
        <is>
          <t>UI-07b – El layout general debe usar gradientes suaves entre secciones.</t>
        </is>
      </c>
      <c r="E69" s="79" t="inlineStr">
        <is>
          <t>x</t>
        </is>
      </c>
      <c r="F69" s="57" t="n"/>
      <c r="G69" s="57" t="n"/>
      <c r="H69" s="57" t="n"/>
    </row>
    <row r="70" ht="15.75" customHeight="1" s="215">
      <c r="B70" s="70" t="n">
        <v>59</v>
      </c>
      <c r="C70" s="81" t="inlineStr">
        <is>
          <t>LG-01a – Permitir ingresar correo electrónico en el login.</t>
        </is>
      </c>
      <c r="E70" s="79" t="inlineStr">
        <is>
          <t>x</t>
        </is>
      </c>
      <c r="F70" s="57" t="n"/>
      <c r="G70" s="57" t="n"/>
      <c r="H70" s="57" t="n"/>
    </row>
    <row r="71" ht="15.75" customHeight="1" s="215">
      <c r="B71" s="70" t="n">
        <v>60</v>
      </c>
      <c r="C71" s="81" t="inlineStr">
        <is>
          <t>LG-01b – Validar formato de email con validación HTML5.</t>
        </is>
      </c>
      <c r="E71" s="79" t="inlineStr">
        <is>
          <t>x</t>
        </is>
      </c>
      <c r="F71" s="57" t="n"/>
      <c r="G71" s="57" t="n"/>
      <c r="H71" s="57" t="n"/>
    </row>
    <row r="72" ht="15.75" customHeight="1" s="215">
      <c r="B72" s="70" t="n">
        <v>61</v>
      </c>
      <c r="C72" s="81" t="inlineStr">
        <is>
          <t>LG-01c – Permitir ingresar contraseña en el login.</t>
        </is>
      </c>
      <c r="E72" s="79" t="inlineStr">
        <is>
          <t>x</t>
        </is>
      </c>
      <c r="F72" s="57" t="n"/>
      <c r="G72" s="57" t="n"/>
      <c r="H72" s="57" t="n"/>
    </row>
    <row r="73" ht="15.75" customHeight="1" s="215">
      <c r="B73" s="70" t="n">
        <v>62</v>
      </c>
      <c r="C73" s="81" t="inlineStr">
        <is>
          <t>LG-01d – La contraseña no debe permitirse vacía (required).</t>
        </is>
      </c>
      <c r="E73" s="79" t="inlineStr">
        <is>
          <t>x</t>
        </is>
      </c>
      <c r="F73" s="57" t="n"/>
      <c r="G73" s="57" t="n"/>
      <c r="H73" s="57" t="n"/>
    </row>
    <row r="74" ht="15.75" customHeight="1" s="215">
      <c r="B74" s="70" t="n">
        <v>63</v>
      </c>
      <c r="C74" s="81" t="inlineStr">
        <is>
          <t>LG-01e – Mostrar icono para ver/ocultar contraseña.</t>
        </is>
      </c>
      <c r="E74" s="79" t="inlineStr">
        <is>
          <t>x</t>
        </is>
      </c>
      <c r="F74" s="57" t="n"/>
      <c r="G74" s="57" t="n"/>
      <c r="H74" s="57" t="n"/>
    </row>
    <row r="75" ht="15.75" customHeight="1" s="215">
      <c r="B75" s="70" t="n">
        <v>64</v>
      </c>
      <c r="C75" s="81" t="inlineStr">
        <is>
          <t>LG-02a – Mostrar error de autenticación en un toast cuando el login falla.</t>
        </is>
      </c>
      <c r="E75" s="79" t="inlineStr">
        <is>
          <t>x</t>
        </is>
      </c>
      <c r="F75" s="57" t="n"/>
      <c r="G75" s="57" t="n"/>
      <c r="H75" s="57" t="n"/>
    </row>
    <row r="76" ht="15.75" customHeight="1" s="215">
      <c r="B76" s="70" t="n">
        <v>65</v>
      </c>
      <c r="C76" s="81" t="inlineStr">
        <is>
          <t>LG-03a – Mostrar enlace “¿Olvidaste tu contraseña?”.</t>
        </is>
      </c>
      <c r="E76" s="79" t="inlineStr">
        <is>
          <t>x</t>
        </is>
      </c>
      <c r="F76" s="57" t="n"/>
      <c r="G76" s="57" t="n"/>
      <c r="H76" s="57" t="n"/>
    </row>
    <row r="77" ht="15.75" customHeight="1" s="215">
      <c r="B77" s="70" t="n">
        <v>66</v>
      </c>
      <c r="C77" s="81" t="inlineStr">
        <is>
          <t>LG-03b – Mostrar enlace a registro si no hay cuenta.</t>
        </is>
      </c>
      <c r="E77" s="79" t="inlineStr">
        <is>
          <t>x</t>
        </is>
      </c>
      <c r="F77" s="57" t="n"/>
      <c r="G77" s="57" t="n"/>
      <c r="H77" s="57" t="n"/>
    </row>
    <row r="78" ht="15.75" customHeight="1" s="215">
      <c r="B78" s="70" t="n">
        <v>67</v>
      </c>
      <c r="C78" s="81" t="inlineStr">
        <is>
          <t>LG-03c – Mostrar enlaces a Términos de Servicio y Política de Privacidad en el footer del login.</t>
        </is>
      </c>
      <c r="E78" s="79" t="inlineStr">
        <is>
          <t>x</t>
        </is>
      </c>
      <c r="F78" s="71" t="n"/>
      <c r="G78" s="71" t="n"/>
      <c r="H78" s="71" t="n"/>
    </row>
    <row r="79" ht="15.75" customHeight="1" s="215">
      <c r="B79" s="70" t="n">
        <v>68</v>
      </c>
      <c r="C79" s="81" t="inlineStr">
        <is>
          <t>LG-04a – Mostrar botón principal “Iniciar Sesión”.</t>
        </is>
      </c>
      <c r="E79" s="79" t="inlineStr">
        <is>
          <t>x</t>
        </is>
      </c>
      <c r="F79" s="71" t="n"/>
      <c r="G79" s="71" t="n"/>
      <c r="H79" s="71" t="n"/>
    </row>
    <row r="80" ht="15.75" customHeight="1" s="215">
      <c r="B80" s="70" t="n">
        <v>69</v>
      </c>
      <c r="C80" s="81" t="inlineStr">
        <is>
          <t>LG-04b – El botón principal debe usar color primario del tema.</t>
        </is>
      </c>
      <c r="E80" s="79" t="inlineStr">
        <is>
          <t>x</t>
        </is>
      </c>
      <c r="F80" s="57" t="n"/>
      <c r="G80" s="57" t="n"/>
      <c r="H80" s="57" t="n"/>
    </row>
    <row r="81" ht="15.75" customHeight="1" s="215">
      <c r="B81" s="70" t="n">
        <v>70</v>
      </c>
      <c r="C81" s="81" t="inlineStr">
        <is>
          <t>LG-04c – Mostrar estado de carga mientras se autentica.</t>
        </is>
      </c>
      <c r="E81" s="79" t="inlineStr">
        <is>
          <t>x</t>
        </is>
      </c>
      <c r="F81" s="57" t="n"/>
      <c r="G81" s="57" t="n"/>
      <c r="H81" s="57" t="n"/>
    </row>
    <row r="82" ht="15.75" customHeight="1" s="215">
      <c r="B82" s="70" t="n">
        <v>71</v>
      </c>
      <c r="C82" s="81" t="inlineStr">
        <is>
          <t>LG-05a – Mostrar botón alternativo “Google” para login social (UI).</t>
        </is>
      </c>
      <c r="E82" s="79" t="inlineStr">
        <is>
          <t>x</t>
        </is>
      </c>
      <c r="F82" s="57" t="n"/>
      <c r="G82" s="57" t="n"/>
      <c r="H82" s="57" t="n"/>
    </row>
    <row r="83" ht="15.75" customHeight="1" s="215">
      <c r="B83" s="70" t="n">
        <v>72</v>
      </c>
      <c r="C83" s="81" t="inlineStr">
        <is>
          <t>LG-06a – Guardar `access_token` en `localStorage` al iniciar sesión.</t>
        </is>
      </c>
      <c r="E83" s="79" t="inlineStr">
        <is>
          <t>x</t>
        </is>
      </c>
      <c r="F83" s="57" t="n"/>
      <c r="G83" s="57" t="n"/>
      <c r="H83" s="57" t="n"/>
    </row>
    <row r="84" ht="15.75" customHeight="1" s="215">
      <c r="B84" s="70" t="n">
        <v>73</v>
      </c>
      <c r="C84" s="81" t="inlineStr">
        <is>
          <t>LG-06b – Guardar `refresh_token` en `localStorage` al iniciar sesión.</t>
        </is>
      </c>
      <c r="E84" s="79" t="inlineStr">
        <is>
          <t>x</t>
        </is>
      </c>
      <c r="F84" s="57" t="n"/>
      <c r="G84" s="57" t="n"/>
      <c r="H84" s="57" t="n"/>
    </row>
    <row r="85" ht="15.75" customHeight="1" s="215">
      <c r="B85" s="70" t="n">
        <v>74</v>
      </c>
      <c r="C85" s="81" t="inlineStr">
        <is>
          <t>LG-06c – Iniciar renovación proactiva del token.</t>
        </is>
      </c>
      <c r="E85" s="79" t="inlineStr">
        <is>
          <t>x</t>
        </is>
      </c>
      <c r="F85" s="57" t="n"/>
      <c r="G85" s="57" t="n"/>
      <c r="H85" s="57" t="n"/>
    </row>
    <row r="86" ht="15.75" customHeight="1" s="215">
      <c r="B86" s="70" t="n">
        <v>75</v>
      </c>
      <c r="C86" s="81" t="inlineStr">
        <is>
          <t>LG-07a – La tarjeta de login debe usar fondo tipo card con transparencia/blur.</t>
        </is>
      </c>
      <c r="E86" s="79" t="inlineStr">
        <is>
          <t>x</t>
        </is>
      </c>
      <c r="F86" s="57" t="n"/>
      <c r="G86" s="57" t="n"/>
      <c r="H86" s="57" t="n"/>
    </row>
    <row r="87" ht="15.75" customHeight="1" s="215">
      <c r="B87" s="70" t="n">
        <v>76</v>
      </c>
      <c r="C87" s="81" t="inlineStr">
        <is>
          <t>LG-07b – La tarjeta de login debe usar borde sutil (`border-border`).</t>
        </is>
      </c>
      <c r="E87" s="79" t="inlineStr">
        <is>
          <t>x</t>
        </is>
      </c>
      <c r="F87" s="57" t="n"/>
      <c r="G87" s="57" t="n"/>
      <c r="H87" s="57" t="n"/>
    </row>
    <row r="88" ht="15.75" customHeight="1" s="215">
      <c r="B88" s="70" t="n">
        <v>77</v>
      </c>
      <c r="C88" s="235" t="inlineStr">
        <is>
          <t>LG-07c – La tarjeta de login debe usar tipografía/colores del tema (`--foreground`, `--muted-foreground`).</t>
        </is>
      </c>
      <c r="E88" s="79" t="inlineStr">
        <is>
          <t>x</t>
        </is>
      </c>
      <c r="F88" s="57" t="n"/>
      <c r="G88" s="57" t="n"/>
      <c r="H88" s="57" t="n"/>
    </row>
    <row r="89" ht="15.75" customHeight="1" s="215">
      <c r="B89" s="70" t="n">
        <v>78</v>
      </c>
      <c r="C89" s="81" t="inlineStr">
        <is>
          <t>FR-13a – Permitir al usuario completar un flujo de reserva con selección de fecha, hora, número de comensales y mesa desde la vista de restaurante.</t>
        </is>
      </c>
      <c r="E89" s="79" t="inlineStr">
        <is>
          <t>x</t>
        </is>
      </c>
      <c r="F89" s="57" t="n"/>
      <c r="G89" s="57" t="n"/>
      <c r="H89" s="57" t="n"/>
    </row>
    <row r="90" ht="15.75" customHeight="1" s="215">
      <c r="B90" s="70" t="n">
        <v>79</v>
      </c>
      <c r="C90" s="81" t="inlineStr">
        <is>
          <t>FR-13b – Generar una reserva y su factura asociada desde el frontend mediante una única llamada al endpoint de backend.</t>
        </is>
      </c>
      <c r="E90" s="79" t="inlineStr">
        <is>
          <t>x</t>
        </is>
      </c>
      <c r="F90" s="57" t="n"/>
      <c r="G90" s="57" t="n"/>
      <c r="H90" s="57" t="n"/>
    </row>
    <row r="91" ht="15.75" customHeight="1" s="215">
      <c r="B91" s="70" t="n">
        <v>80</v>
      </c>
      <c r="C91" s="81" t="inlineStr">
        <is>
          <t>FR-13c – Guardar en el navegador los datos de la reserva pendiente para continuar el flujo en la pasarela de pagos.</t>
        </is>
      </c>
      <c r="E91" s="79" t="inlineStr">
        <is>
          <t>x</t>
        </is>
      </c>
      <c r="F91" s="57" t="n"/>
      <c r="G91" s="57" t="n"/>
      <c r="H91" s="57" t="n"/>
    </row>
    <row r="92" ht="15.75" customHeight="1" s="215">
      <c r="B92" s="70" t="n">
        <v>81</v>
      </c>
      <c r="C92" s="235" t="inlineStr">
        <is>
          <t>FR-14a – Cargar la página de pasarela de pago solo si existen datos de reserva pendiente almacenados.</t>
        </is>
      </c>
      <c r="E92" s="79" t="inlineStr">
        <is>
          <t>x</t>
        </is>
      </c>
      <c r="F92" s="57" t="n"/>
      <c r="G92" s="57" t="n"/>
      <c r="H92" s="57" t="n"/>
    </row>
    <row r="93" ht="15.75" customHeight="1" s="215">
      <c r="B93" s="70" t="n">
        <v>82</v>
      </c>
      <c r="C93" s="81" t="inlineStr">
        <is>
          <t>FR-14b – Mostrar en la pasarela de pago el resumen de la reserva (restaurante, mesa, fecha, hora, total) antes de procesar el pago.</t>
        </is>
      </c>
      <c r="E93" s="79" t="inlineStr">
        <is>
          <t>x</t>
        </is>
      </c>
      <c r="F93" s="57" t="n"/>
      <c r="G93" s="57" t="n"/>
      <c r="H93" s="57" t="n"/>
    </row>
    <row r="94" ht="15.75" customHeight="1" s="215">
      <c r="B94" s="70" t="n">
        <v>83</v>
      </c>
      <c r="C94" s="81" t="inlineStr">
        <is>
          <t>FR-15a – Proveer un dashboard para dueños con pestañas de vista general, restaurantes, reservas, flujo diario, empleados, clientes, correos y configuración.</t>
        </is>
      </c>
      <c r="E94" s="79" t="inlineStr">
        <is>
          <t>x</t>
        </is>
      </c>
      <c r="F94" s="57" t="n"/>
      <c r="G94" s="57" t="inlineStr">
        <is>
          <t>x</t>
        </is>
      </c>
      <c r="H94" s="57" t="inlineStr">
        <is>
          <t>El módulo existe visualmente pero carece de funcionalidad documentada y operativa. Requiere definición de alcance e implementación.</t>
        </is>
      </c>
    </row>
    <row r="95" ht="15.75" customHeight="1" s="215">
      <c r="B95" s="70" t="n">
        <v>84</v>
      </c>
      <c r="C95" s="81" t="inlineStr">
        <is>
          <t>FR-15b – Proveer un dashboard para administradores centrado en un restaurante específico con métricas, reservas y facturas.</t>
        </is>
      </c>
      <c r="E95" s="79" t="inlineStr">
        <is>
          <t>x</t>
        </is>
      </c>
      <c r="F95" s="57" t="n"/>
      <c r="G95" s="57" t="n"/>
      <c r="H95" s="57" t="n"/>
    </row>
    <row r="96" ht="15.75" customHeight="1" s="215">
      <c r="B96" s="70" t="n">
        <v>85</v>
      </c>
      <c r="C96" s="81" t="inlineStr">
        <is>
          <t>FR-15c – Proveer un dashboard para clientes con sección de perfil, métricas simplificadas y listado de sus reservas recientes.</t>
        </is>
      </c>
      <c r="E96" s="79" t="inlineStr">
        <is>
          <t>x</t>
        </is>
      </c>
      <c r="F96" s="57" t="n"/>
      <c r="G96" s="57" t="n"/>
      <c r="H96" s="57" t="n"/>
    </row>
    <row r="97" ht="15.75" customHeight="1" s="215">
      <c r="B97" s="70" t="n">
        <v>86</v>
      </c>
      <c r="C97" s="81" t="inlineStr">
        <is>
          <t>FR-16a – Permitir a dueños y administradores ver las reservas de un restaurante agrupadas por estado en un modal.</t>
        </is>
      </c>
      <c r="E97" s="79" t="inlineStr">
        <is>
          <t>x</t>
        </is>
      </c>
      <c r="F97" s="57" t="n"/>
      <c r="G97" s="57" t="inlineStr">
        <is>
          <t>x</t>
        </is>
      </c>
      <c r="H97" s="57" t="n"/>
    </row>
    <row r="98" ht="15.75" customHeight="1" s="215">
      <c r="B98" s="70" t="n">
        <v>87</v>
      </c>
      <c r="C98" s="81" t="inlineStr">
        <is>
          <t>FR-16b – Permitir cambiar el estado de una reserva desde el modal, respetando las transiciones definidas en backend.</t>
        </is>
      </c>
      <c r="E98" s="79" t="inlineStr">
        <is>
          <t>x</t>
        </is>
      </c>
      <c r="F98" s="57" t="n"/>
      <c r="G98" s="57" t="n"/>
      <c r="H98" s="57" t="n"/>
    </row>
    <row r="99" ht="15.75" customHeight="1" s="215">
      <c r="B99" s="70" t="n">
        <v>88</v>
      </c>
      <c r="C99" s="81" t="inlineStr">
        <is>
          <t>FR-16c – Solicitar y enviar al backend un motivo de cancelación cuando se cancela una reserva desde el modal.</t>
        </is>
      </c>
      <c r="E99" s="79" t="inlineStr">
        <is>
          <t>x</t>
        </is>
      </c>
      <c r="F99" s="57" t="n"/>
      <c r="G99" s="57" t="n"/>
      <c r="H99" s="57" t="n"/>
    </row>
    <row r="100" ht="15.75" customHeight="1" s="215">
      <c r="B100" s="70" t="n">
        <v>89</v>
      </c>
      <c r="C100" s="81" t="inlineStr">
        <is>
          <t>FR-17a – Permitir configurar credenciales de correo (SMTP/IMAP) desde el dashboard.</t>
        </is>
      </c>
      <c r="E100" s="79" t="inlineStr">
        <is>
          <t>x</t>
        </is>
      </c>
      <c r="F100" s="57" t="n"/>
      <c r="G100" s="57" t="n"/>
      <c r="H100" s="57" t="n"/>
    </row>
    <row r="101" ht="15.75" customHeight="1" s="215">
      <c r="B101" s="70" t="n">
        <v>90</v>
      </c>
      <c r="C101" s="81" t="inlineStr">
        <is>
          <t>FR-17b – Permitir visualizar la bandeja de correos asociados a la cuenta configurada.</t>
        </is>
      </c>
      <c r="E101" s="79" t="inlineStr">
        <is>
          <t>x</t>
        </is>
      </c>
      <c r="F101" s="57" t="n"/>
      <c r="G101" s="57" t="n"/>
      <c r="H101" s="57" t="n"/>
    </row>
    <row r="102" ht="15.75" customHeight="1" s="215">
      <c r="B102" s="70" t="n">
        <v>91</v>
      </c>
      <c r="C102" s="81" t="inlineStr">
        <is>
          <t>FR-18a – Mostrar en la UI un mapa con la ubicación del restaurante seleccionado.</t>
        </is>
      </c>
      <c r="E102" s="79" t="inlineStr">
        <is>
          <t>x</t>
        </is>
      </c>
      <c r="F102" s="57" t="n"/>
      <c r="G102" s="57" t="n"/>
      <c r="H102" s="57" t="n"/>
    </row>
    <row r="103" ht="15.75" customHeight="1" s="215">
      <c r="B103" s="70" t="n">
        <v>92</v>
      </c>
      <c r="C103" s="81" t="inlineStr">
        <is>
          <t>FR-18b – Permitir al usuario ver en una vista de mapa la distribución de restaurantes con marcadores.</t>
        </is>
      </c>
      <c r="E103" s="79" t="inlineStr">
        <is>
          <t>x</t>
        </is>
      </c>
      <c r="F103" s="57" t="n"/>
      <c r="G103" s="57" t="n"/>
      <c r="H103" s="57" t="n"/>
    </row>
    <row r="104" ht="15.75" customHeight="1" s="215">
      <c r="B104" s="70" t="n">
        <v>93</v>
      </c>
      <c r="C104" s="81" t="inlineStr">
        <is>
          <t>UI-08a – Aplicar una animación de transición suave (fade-in) en el cambio de páginas del SPA.</t>
        </is>
      </c>
      <c r="E104" s="79" t="inlineStr">
        <is>
          <t>x</t>
        </is>
      </c>
      <c r="F104" s="57" t="n"/>
      <c r="G104" s="57" t="n"/>
      <c r="H104" s="57" t="n"/>
    </row>
    <row r="105" ht="15.75" customHeight="1" s="215">
      <c r="B105" s="70" t="n">
        <v>94</v>
      </c>
      <c r="C105" s="81" t="inlineStr">
        <is>
          <t>UI-08b – Aplicar animaciones de entrada en secciones clave del home (hero, carrusel de cocinas, features).</t>
        </is>
      </c>
      <c r="E105" s="79" t="inlineStr">
        <is>
          <t>x</t>
        </is>
      </c>
      <c r="F105" s="57" t="n"/>
      <c r="G105" s="57" t="n"/>
      <c r="H105" s="57" t="n"/>
    </row>
    <row r="106" ht="15.75" customHeight="1" s="215">
      <c r="B106" s="70" t="n">
        <v>95</v>
      </c>
      <c r="C106" s="81" t="inlineStr">
        <is>
          <t>UI-08c – Aplicar un efecto de escala suave al hacer hover sobre imágenes de restaurante.</t>
        </is>
      </c>
      <c r="E106" s="79" t="inlineStr">
        <is>
          <t>x</t>
        </is>
      </c>
      <c r="F106" s="57" t="n"/>
      <c r="G106" s="57" t="n"/>
      <c r="H106" s="57" t="n"/>
    </row>
    <row r="107" ht="15.75" customHeight="1" s="215">
      <c r="B107" s="70" t="n">
        <v>96</v>
      </c>
      <c r="C107" s="81" t="inlineStr">
        <is>
          <t>UI-09a – Representar visualmente el estado de las reservas mediante badges de color diferenciados.</t>
        </is>
      </c>
      <c r="E107" s="79" t="inlineStr">
        <is>
          <t>x</t>
        </is>
      </c>
      <c r="F107" s="57" t="n"/>
      <c r="G107" s="57" t="n"/>
      <c r="H107" s="57" t="n"/>
    </row>
    <row r="108" ht="15.75" customHeight="1" s="215">
      <c r="B108" s="70" t="n">
        <v>97</v>
      </c>
      <c r="C108" s="81" t="inlineStr">
        <is>
          <t>UI-09b – Mostrar mensajes de estado y resultados de acciones mediante toasts flotantes consistentes.</t>
        </is>
      </c>
      <c r="E108" s="79" t="inlineStr">
        <is>
          <t>x</t>
        </is>
      </c>
      <c r="F108" s="57" t="n"/>
      <c r="G108" s="57" t="n"/>
      <c r="H108" s="57" t="n"/>
    </row>
    <row r="109" ht="15.75" customHeight="1" s="215">
      <c r="B109" s="70" t="n">
        <v>98</v>
      </c>
      <c r="C109" s="81" t="inlineStr">
        <is>
          <t>UI-10a – Mostrar un modal de consentimiento de cookies al primer acceso.</t>
        </is>
      </c>
      <c r="E109" s="79" t="inlineStr">
        <is>
          <t>x</t>
        </is>
      </c>
      <c r="F109" s="57" t="n"/>
      <c r="G109" s="57" t="n"/>
      <c r="H109" s="57" t="n"/>
    </row>
    <row r="110" ht="15.75" customHeight="1" s="215">
      <c r="B110" s="70" t="n">
        <v>99</v>
      </c>
      <c r="C110" s="81" t="inlineStr">
        <is>
          <t>UI-10b – Mostrar spinners mientras se cargan datos importantes (métricas, facturas, reservas, correos).</t>
        </is>
      </c>
      <c r="E110" s="79" t="inlineStr">
        <is>
          <t>x</t>
        </is>
      </c>
      <c r="F110" s="57" t="n"/>
      <c r="G110" s="57" t="n"/>
      <c r="H110" s="57" t="n"/>
    </row>
    <row r="111" ht="15.75" customHeight="1" s="215">
      <c r="B111" s="70" t="n">
        <v>100</v>
      </c>
      <c r="C111" s="81" t="inlineStr">
        <is>
          <t>LG-08a – Proteger rutas del frontend verificando el token y el rol antes de renderizar páginas internas.</t>
        </is>
      </c>
      <c r="E111" s="79" t="inlineStr">
        <is>
          <t>x</t>
        </is>
      </c>
      <c r="F111" s="57" t="n"/>
      <c r="G111" s="57" t="n"/>
      <c r="H111" s="57" t="n"/>
    </row>
    <row r="112" ht="15.75" customHeight="1" s="215">
      <c r="B112" s="70" t="n">
        <v>101</v>
      </c>
      <c r="C112" s="81" t="inlineStr">
        <is>
          <t>LG-08b – Mostrar un indicador de carga mientras se verifica el acceso a rutas protegidas.</t>
        </is>
      </c>
      <c r="E112" s="79" t="inlineStr">
        <is>
          <t>x</t>
        </is>
      </c>
      <c r="F112" s="57" t="n"/>
      <c r="G112" s="57" t="n"/>
      <c r="H112" s="57" t="n"/>
    </row>
    <row r="113" ht="15.75" customHeight="1" s="215">
      <c r="B113" s="70" t="n">
        <v>102</v>
      </c>
      <c r="C113" s="81" t="inlineStr">
        <is>
          <t>LG-08c – Mostrar un toast de “Acceso denegado” cuando un usuario intenta acceder a una ruta sin permisos.</t>
        </is>
      </c>
      <c r="E113" s="79" t="inlineStr">
        <is>
          <t>x</t>
        </is>
      </c>
      <c r="F113" s="57" t="n"/>
      <c r="G113" s="57" t="n"/>
      <c r="H113" s="57" t="n"/>
    </row>
    <row r="114" ht="15.75" customHeight="1" s="215">
      <c r="B114" s="70" t="n">
        <v>103</v>
      </c>
      <c r="C114" s="81" t="inlineStr">
        <is>
          <t>FR-19a – Mostrar en el dashboard de dueño botones de acción rápidos para ver todas las reservas del día actual.</t>
        </is>
      </c>
      <c r="E114" s="79" t="inlineStr">
        <is>
          <t>x</t>
        </is>
      </c>
      <c r="F114" s="57" t="n"/>
      <c r="G114" s="57" t="n"/>
      <c r="H114" s="57" t="n"/>
    </row>
    <row r="115" ht="15.75" customHeight="1" s="215">
      <c r="B115" s="70" t="n">
        <v>104</v>
      </c>
      <c r="C115" s="81" t="inlineStr">
        <is>
          <t>FR-19b – Permitir exportar el listado de facturas del mes actual a un archivo CSV desde el dashboard de dueño.</t>
        </is>
      </c>
      <c r="E115" s="79" t="inlineStr">
        <is>
          <t>x</t>
        </is>
      </c>
      <c r="F115" s="57" t="n"/>
      <c r="G115" s="57" t="inlineStr">
        <is>
          <t>x</t>
        </is>
      </c>
      <c r="H115" s="57" t="inlineStr">
        <is>
          <t xml:space="preserve">Se debe agregar la opción de exportación según lo documentado. No hay facturas de prueba que muestren su estructura
</t>
        </is>
      </c>
    </row>
    <row r="116" ht="15.75" customHeight="1" s="215">
      <c r="B116" s="70" t="n">
        <v>105</v>
      </c>
      <c r="C116" s="81" t="inlineStr">
        <is>
          <t>FR-19c – Permitir descargar en PDF el detalle de una factura seleccionada desde el dashboard.</t>
        </is>
      </c>
      <c r="E116" s="79" t="inlineStr">
        <is>
          <t>x</t>
        </is>
      </c>
      <c r="F116" s="57" t="n"/>
      <c r="G116" s="57" t="n"/>
      <c r="H116" s="57" t="n"/>
    </row>
    <row r="117" ht="15.75" customHeight="1" s="215">
      <c r="B117" s="70" t="n">
        <v>106</v>
      </c>
      <c r="C117" s="81" t="inlineStr">
        <is>
          <t>FR-20a – Permitir a empleados acceder a una vista de correos configurados para el restaurante.</t>
        </is>
      </c>
      <c r="E117" s="79" t="inlineStr">
        <is>
          <t>x</t>
        </is>
      </c>
      <c r="F117" s="57" t="n"/>
      <c r="G117" s="57" t="n"/>
      <c r="H117" s="57" t="n"/>
    </row>
    <row r="118" ht="15.75" customHeight="1" s="215">
      <c r="B118" s="70" t="n">
        <v>107</v>
      </c>
      <c r="C118" s="81" t="inlineStr">
        <is>
          <t>FR-20b – Permitir a empleados acceder a una vista de configuración de correo (SMTP/IMAP) si tienen permisos.</t>
        </is>
      </c>
      <c r="E118" s="79" t="inlineStr">
        <is>
          <t>x</t>
        </is>
      </c>
      <c r="F118" s="57" t="n"/>
      <c r="G118" s="57" t="n"/>
      <c r="H118" s="57" t="n"/>
    </row>
    <row r="119" ht="15.75" customHeight="1" s="215">
      <c r="B119" s="70" t="n">
        <v>108</v>
      </c>
      <c r="C119" s="81" t="inlineStr">
        <is>
          <t>UI-11a – Los toasts destructivos deben usar colores acordes al tema para indicar errores de forma clara.</t>
        </is>
      </c>
      <c r="E119" s="79" t="inlineStr">
        <is>
          <t>x</t>
        </is>
      </c>
      <c r="F119" s="57" t="n"/>
      <c r="G119" s="57" t="n"/>
      <c r="H119" s="57" t="n"/>
    </row>
    <row r="120" ht="15.75" customHeight="1" s="215">
      <c r="B120" s="70" t="n">
        <v>109</v>
      </c>
      <c r="C120" s="81" t="inlineStr">
        <is>
          <t>UI-11b – Los modales deben aplicar un fondo semitransparente y centrado que bloquee la interacción con el resto de la página.</t>
        </is>
      </c>
      <c r="E120" s="79" t="inlineStr">
        <is>
          <t>x</t>
        </is>
      </c>
      <c r="F120" s="57" t="n"/>
      <c r="G120" s="57" t="n"/>
      <c r="H120" s="57" t="n"/>
    </row>
    <row r="121" ht="15.75" customHeight="1" s="215">
      <c r="B121" s="70" t="n">
        <v>110</v>
      </c>
      <c r="C121" s="81" t="inlineStr">
        <is>
          <t>UI-11c – El mapa de restaurantes debe ocupar todo el ancho disponible en la sección que lo contiene.</t>
        </is>
      </c>
      <c r="E121" s="79" t="inlineStr">
        <is>
          <t>x</t>
        </is>
      </c>
      <c r="F121" s="57" t="n"/>
      <c r="G121" s="57" t="n"/>
      <c r="H121" s="57" t="n"/>
    </row>
    <row r="122" ht="15.75" customHeight="1" s="215">
      <c r="B122" s="70" t="n">
        <v>111</v>
      </c>
      <c r="C122" s="81" t="inlineStr">
        <is>
          <t>LG-09a – Después de iniciar sesión correctamente, el usuario debe ser redirigido automáticamente a la página principal o dashboard correspondiente.</t>
        </is>
      </c>
      <c r="E122" s="79" t="inlineStr">
        <is>
          <t>x</t>
        </is>
      </c>
      <c r="F122" s="57" t="n"/>
      <c r="G122" s="57" t="n"/>
      <c r="H122" s="57" t="n"/>
    </row>
    <row r="123" ht="15.75" customHeight="1" s="215">
      <c r="B123" s="70" t="n">
        <v>112</v>
      </c>
      <c r="C123" s="81" t="inlineStr">
        <is>
          <t>LG-09b – Si el login falla por credenciales incorrectas, se debe limpiar el estado de carga y permitir volver a intentar.</t>
        </is>
      </c>
      <c r="E123" s="79" t="inlineStr">
        <is>
          <t>x</t>
        </is>
      </c>
      <c r="F123" s="57" t="n"/>
      <c r="G123" s="57" t="n"/>
      <c r="H123" s="57" t="n"/>
    </row>
    <row r="124" ht="15.75" customHeight="1" s="215">
      <c r="B124" s="70" t="n">
        <v>113</v>
      </c>
      <c r="C124" s="81" t="inlineStr">
        <is>
          <t>P-01a – Implementar geolocalización real del usuario para filtrar por ubicación.</t>
        </is>
      </c>
      <c r="E124" s="79" t="n"/>
      <c r="F124" s="57" t="n"/>
      <c r="G124" s="57" t="inlineStr">
        <is>
          <t>x</t>
        </is>
      </c>
      <c r="H124" s="57" t="n"/>
    </row>
    <row r="125" ht="15.75" customHeight="1" s="215">
      <c r="B125" s="70" t="n">
        <v>114</v>
      </c>
      <c r="C125" s="81" t="inlineStr">
        <is>
          <t>P-02a – Garantizar disponibilidad 24/7 (SLA).</t>
        </is>
      </c>
      <c r="E125" s="79" t="n"/>
      <c r="F125" s="57" t="n"/>
      <c r="G125" s="57" t="inlineStr">
        <is>
          <t>x</t>
        </is>
      </c>
      <c r="H125" s="57" t="n"/>
    </row>
    <row r="126" ht="15.75" customHeight="1" s="215">
      <c r="B126" s="70" t="n">
        <v>115</v>
      </c>
      <c r="C126" s="81" t="inlineStr">
        <is>
          <t>P-03a – Garantizar SLA &lt; 2s en búsquedas/filtrados.</t>
        </is>
      </c>
      <c r="E126" s="79" t="n"/>
      <c r="F126" s="57" t="n"/>
      <c r="G126" s="57" t="inlineStr">
        <is>
          <t>x</t>
        </is>
      </c>
      <c r="H126" s="57" t="n"/>
    </row>
    <row r="127" ht="15.75" customHeight="1" s="215">
      <c r="B127" s="70" t="n">
        <v>116</v>
      </c>
      <c r="C127" s="81" t="inlineStr">
        <is>
          <t>P-04a – Definir estrategia formal de escalabilidad (autoscaling, pruebas).</t>
        </is>
      </c>
      <c r="E127" s="79" t="n"/>
      <c r="F127" s="57" t="n"/>
      <c r="G127" s="57" t="inlineStr">
        <is>
          <t>x</t>
        </is>
      </c>
      <c r="H127" s="57" t="n"/>
    </row>
    <row r="128" ht="15.75" customHeight="1" s="215">
      <c r="B128" s="70" t="n">
        <v>117</v>
      </c>
      <c r="C128" s="81" t="inlineStr">
        <is>
          <t>P-05a – Validar contraste mínimo (accesibilidad).</t>
        </is>
      </c>
      <c r="E128" s="79" t="n"/>
      <c r="F128" s="57" t="n"/>
      <c r="G128" s="57" t="inlineStr">
        <is>
          <t>x</t>
        </is>
      </c>
      <c r="H128" s="57" t="n"/>
    </row>
    <row r="129" ht="15.75" customHeight="1" s="215">
      <c r="B129" s="70" t="n">
        <v>118</v>
      </c>
      <c r="C129" s="81" t="inlineStr">
        <is>
          <t>P-05b – Asegurar navegación completa con teclado.</t>
        </is>
      </c>
      <c r="E129" s="79" t="n"/>
      <c r="F129" s="57" t="n"/>
      <c r="G129" s="57" t="inlineStr">
        <is>
          <t>x</t>
        </is>
      </c>
      <c r="H129" s="57" t="n"/>
    </row>
    <row r="130" ht="15.75" customHeight="1" s="215">
      <c r="B130" s="70" t="n">
        <v>119</v>
      </c>
      <c r="C130" s="81" t="inlineStr">
        <is>
          <t>P-05c – Asegurar uso sistemático de ARIA.</t>
        </is>
      </c>
      <c r="E130" s="79" t="n"/>
      <c r="F130" s="57" t="n"/>
      <c r="G130" s="57" t="inlineStr">
        <is>
          <t>x</t>
        </is>
      </c>
      <c r="H130" s="57" t="n"/>
    </row>
    <row r="131" ht="15.75" customHeight="1" s="215">
      <c r="B131" s="70" t="n">
        <v>120</v>
      </c>
      <c r="C131" s="81" t="inlineStr">
        <is>
          <t>P-06a – Implementar flujo completo de recuperación de contraseña.</t>
        </is>
      </c>
      <c r="E131" s="79" t="n"/>
      <c r="F131" s="57" t="n"/>
      <c r="G131" s="57" t="inlineStr">
        <is>
          <t>x</t>
        </is>
      </c>
      <c r="H131" s="57" t="n"/>
    </row>
    <row r="132" ht="15.75" customHeight="1" s="215">
      <c r="B132" s="70" t="n">
        <v>121</v>
      </c>
      <c r="C132" s="81" t="inlineStr">
        <is>
          <t>P-07a – Implementar OAuth real con Google.</t>
        </is>
      </c>
      <c r="E132" s="79" t="n"/>
      <c r="F132" s="57" t="n"/>
      <c r="G132" s="57" t="inlineStr">
        <is>
          <t>x</t>
        </is>
      </c>
      <c r="H132" s="57" t="n"/>
    </row>
    <row r="133" ht="15.75" customHeight="1" s="215">
      <c r="B133" s="70" t="n">
        <v>122</v>
      </c>
      <c r="C133" s="81" t="inlineStr">
        <is>
          <t>P-08a – Encriptar contraseña en el cliente antes del envío (si aplica).</t>
        </is>
      </c>
      <c r="E133" s="79" t="n"/>
      <c r="F133" s="57" t="n"/>
      <c r="G133" s="57" t="inlineStr">
        <is>
          <t>x</t>
        </is>
      </c>
      <c r="H133" s="57" t="n"/>
    </row>
    <row r="134" ht="15.75" customHeight="1" s="215">
      <c r="B134" s="70" t="n">
        <v>123</v>
      </c>
      <c r="C134" s="81" t="inlineStr">
        <is>
          <t>P-09a – Mostrar errores de validación directamente en el formulario (no solo toast).</t>
        </is>
      </c>
      <c r="E134" s="79" t="n"/>
      <c r="F134" s="57" t="n"/>
      <c r="G134" s="57" t="inlineStr">
        <is>
          <t>x</t>
        </is>
      </c>
      <c r="H134" s="57" t="n"/>
    </row>
    <row r="135" ht="15.75" customHeight="1" s="215">
      <c r="B135" s="70" t="n">
        <v>124</v>
      </c>
      <c r="C135" s="81" t="inlineStr">
        <is>
          <t>P-09b – Implementar validación de fortaleza de contraseña.</t>
        </is>
      </c>
      <c r="E135" s="79" t="n"/>
      <c r="F135" s="57" t="n"/>
      <c r="G135" s="57" t="inlineStr">
        <is>
          <t>x</t>
        </is>
      </c>
      <c r="H135" s="57" t="n"/>
    </row>
    <row r="136" ht="15.75" customHeight="1" s="215">
      <c r="B136" s="70" t="n">
        <v>125</v>
      </c>
      <c r="C136" s="81" t="inlineStr">
        <is>
          <t>CSS-01 – Variable --popover en modo claro.</t>
        </is>
      </c>
      <c r="E136" s="79" t="inlineStr">
        <is>
          <t>x</t>
        </is>
      </c>
      <c r="F136" s="57" t="n"/>
      <c r="G136" s="57" t="n"/>
      <c r="H136" s="57" t="n"/>
    </row>
    <row r="137" ht="15.75" customHeight="1" s="215">
      <c r="B137" s="70" t="n">
        <v>126</v>
      </c>
      <c r="C137" s="81" t="inlineStr">
        <is>
          <t>CSS-02 – Variable --popover-foreground en modo claro.</t>
        </is>
      </c>
      <c r="E137" s="79" t="inlineStr">
        <is>
          <t>x</t>
        </is>
      </c>
      <c r="F137" s="57" t="n"/>
      <c r="G137" s="57" t="n"/>
      <c r="H137" s="57" t="n"/>
    </row>
    <row r="138" ht="15.75" customHeight="1" s="215">
      <c r="B138" s="70" t="n">
        <v>127</v>
      </c>
      <c r="C138" s="81" t="inlineStr">
        <is>
          <t>CSS-03 – Variable --muted-foreground en modo claro.</t>
        </is>
      </c>
      <c r="E138" s="79" t="inlineStr">
        <is>
          <t>x</t>
        </is>
      </c>
      <c r="F138" s="57" t="n"/>
      <c r="G138" s="57" t="n"/>
      <c r="H138" s="57" t="n"/>
    </row>
    <row r="139" ht="15.75" customHeight="1" s="215">
      <c r="B139" s="70" t="n">
        <v>128</v>
      </c>
      <c r="C139" s="81" t="inlineStr">
        <is>
          <t>CSS-04 – Variable --destructive en modo claro.</t>
        </is>
      </c>
      <c r="E139" s="79" t="inlineStr">
        <is>
          <t>x</t>
        </is>
      </c>
      <c r="F139" s="57" t="n"/>
      <c r="G139" s="57" t="n"/>
      <c r="H139" s="57" t="n"/>
    </row>
    <row r="140" ht="15.75" customHeight="1" s="215">
      <c r="B140" s="70" t="n">
        <v>129</v>
      </c>
      <c r="C140" s="81" t="inlineStr">
        <is>
          <t>CSS-05 – Variable --border en modo claro.</t>
        </is>
      </c>
      <c r="E140" s="79" t="inlineStr">
        <is>
          <t>x</t>
        </is>
      </c>
      <c r="F140" s="57" t="n"/>
      <c r="G140" s="57" t="n"/>
      <c r="H140" s="57" t="n"/>
    </row>
    <row r="141" ht="15.75" customHeight="1" s="215">
      <c r="B141" s="70" t="n">
        <v>130</v>
      </c>
      <c r="C141" s="81" t="inlineStr">
        <is>
          <t>CSS-06 – Variable --input en modo claro.</t>
        </is>
      </c>
      <c r="E141" s="79" t="inlineStr">
        <is>
          <t>x</t>
        </is>
      </c>
      <c r="F141" s="57" t="n"/>
      <c r="G141" s="57" t="n"/>
      <c r="H141" s="57" t="n"/>
    </row>
    <row r="142" ht="15.75" customHeight="1" s="215">
      <c r="B142" s="70" t="n">
        <v>131</v>
      </c>
      <c r="C142" s="81" t="inlineStr">
        <is>
          <t>CSS-07 – Variable --ring en modo claro.</t>
        </is>
      </c>
      <c r="E142" s="79" t="inlineStr">
        <is>
          <t>x</t>
        </is>
      </c>
      <c r="F142" s="57" t="n"/>
      <c r="G142" s="57" t="n"/>
      <c r="H142" s="57" t="n"/>
    </row>
    <row r="143" ht="15.75" customHeight="1" s="215">
      <c r="B143" s="70" t="n">
        <v>132</v>
      </c>
      <c r="C143" s="81" t="inlineStr">
        <is>
          <t>CSS-08 – Variables --chart-1 a --chart-5 en modo claro.</t>
        </is>
      </c>
      <c r="E143" s="79" t="inlineStr">
        <is>
          <t>x</t>
        </is>
      </c>
      <c r="F143" s="57" t="n"/>
      <c r="G143" s="57" t="n"/>
      <c r="H143" s="57" t="n"/>
    </row>
    <row r="144" ht="15.75" customHeight="1" s="215">
      <c r="B144" s="70" t="n">
        <v>133</v>
      </c>
      <c r="C144" s="81" t="inlineStr">
        <is>
          <t>CSS-09 – Variable --radius y valores derivados --radius-sm, --radius-md, --radius-lg, --radius-xl.</t>
        </is>
      </c>
      <c r="E144" s="79" t="inlineStr">
        <is>
          <t>x</t>
        </is>
      </c>
      <c r="F144" s="57" t="n"/>
      <c r="G144" s="57" t="n"/>
      <c r="H144" s="57" t="n"/>
    </row>
    <row r="145" ht="15.75" customHeight="1" s="215">
      <c r="B145" s="70" t="n">
        <v>134</v>
      </c>
      <c r="C145" s="81" t="inlineStr">
        <is>
          <t>CSS-10 – Variables --sidebar, --sidebar-foreground, --sidebar-primary, --sidebar-primary-foreground en :root.</t>
        </is>
      </c>
      <c r="E145" s="79" t="inlineStr">
        <is>
          <t>x</t>
        </is>
      </c>
      <c r="F145" s="57" t="n"/>
      <c r="G145" s="57" t="n"/>
      <c r="H145" s="57" t="n"/>
    </row>
    <row r="146" ht="15.75" customHeight="1" s="215">
      <c r="B146" s="70" t="n">
        <v>135</v>
      </c>
      <c r="C146" s="81" t="inlineStr">
        <is>
          <t>CSS-11 – Variables --sidebar-accent, --sidebar-accent-foreground, --sidebar-border, --sidebar-ring en :root.</t>
        </is>
      </c>
      <c r="E146" s="79" t="inlineStr">
        <is>
          <t>x</t>
        </is>
      </c>
      <c r="F146" s="57" t="n"/>
      <c r="G146" s="57" t="n"/>
      <c r="H146" s="57" t="n"/>
    </row>
    <row r="147" ht="15.75" customHeight="1" s="215">
      <c r="B147" s="70" t="n">
        <v>136</v>
      </c>
      <c r="C147" s="81" t="inlineStr">
        <is>
          <t>CSS-12 – Modo oscuro .dark con --background #121212 y --foreground #E0E0E0.</t>
        </is>
      </c>
      <c r="E147" s="79" t="inlineStr">
        <is>
          <t>x</t>
        </is>
      </c>
      <c r="F147" s="57" t="n"/>
      <c r="G147" s="57" t="n"/>
      <c r="H147" s="57" t="n"/>
    </row>
    <row r="148" ht="15.75" customHeight="1" s="215">
      <c r="B148" s="70" t="n">
        <v>137</v>
      </c>
      <c r="C148" s="81" t="inlineStr">
        <is>
          <t>CSS-13 – Modo oscuro .dark con --popover y --popover-foreground.</t>
        </is>
      </c>
      <c r="E148" s="79" t="inlineStr">
        <is>
          <t>x</t>
        </is>
      </c>
      <c r="F148" s="57" t="n"/>
      <c r="G148" s="57" t="n"/>
      <c r="H148" s="57" t="n"/>
    </row>
    <row r="149" ht="15.75" customHeight="1" s="215">
      <c r="B149" s="70" t="n">
        <v>138</v>
      </c>
      <c r="C149" s="81" t="inlineStr">
        <is>
          <t>CSS-14 – Modo oscuro .dark con --muted-foreground, --destructive, --ring y --chart-1 a --chart-5.</t>
        </is>
      </c>
      <c r="E149" s="79" t="inlineStr">
        <is>
          <t>x</t>
        </is>
      </c>
      <c r="F149" s="57" t="n"/>
      <c r="G149" s="57" t="n"/>
      <c r="H149" s="57" t="n"/>
    </row>
    <row r="150" ht="15.75" customHeight="1" s="215">
      <c r="B150" s="70" t="n">
        <v>139</v>
      </c>
      <c r="C150" s="81" t="inlineStr">
        <is>
          <t>CSS-15 – Modo oscuro .dark con --sidebar, --sidebar-primary, --sidebar-accent, --sidebar-ring.</t>
        </is>
      </c>
      <c r="E150" s="79" t="inlineStr">
        <is>
          <t>x</t>
        </is>
      </c>
      <c r="F150" s="57" t="n"/>
      <c r="G150" s="57" t="n"/>
      <c r="H150" s="57" t="n"/>
    </row>
    <row r="151" ht="15.75" customHeight="1" s="215">
      <c r="B151" s="70" t="n">
        <v>140</v>
      </c>
      <c r="C151" s="81" t="inlineStr">
        <is>
          <t>CSS-16 – scroll-behavior: smooth en html.</t>
        </is>
      </c>
      <c r="E151" s="79" t="inlineStr">
        <is>
          <t>x</t>
        </is>
      </c>
      <c r="F151" s="57" t="n"/>
      <c r="G151" s="57" t="n"/>
      <c r="H151" s="57" t="n"/>
    </row>
    <row r="152" ht="15.75" customHeight="1" s="215">
      <c r="B152" s="70" t="n">
        <v>141</v>
      </c>
      <c r="C152" s="81" t="inlineStr">
        <is>
          <t>CSS-17 – font-family y line-height en :root.</t>
        </is>
      </c>
      <c r="E152" s="79" t="inlineStr">
        <is>
          <t>x</t>
        </is>
      </c>
      <c r="F152" s="57" t="n"/>
      <c r="G152" s="57" t="n"/>
      <c r="H152" s="57" t="n"/>
    </row>
    <row r="153" ht="15.75" customHeight="1" s="215">
      <c r="B153" s="70" t="n">
        <v>142</v>
      </c>
      <c r="C153" s="81" t="inlineStr">
        <is>
          <t>CSS-18 – a:hover con color #FF6B35.</t>
        </is>
      </c>
      <c r="E153" s="79" t="inlineStr">
        <is>
          <t>x</t>
        </is>
      </c>
      <c r="F153" s="57" t="n"/>
      <c r="G153" s="57" t="n"/>
      <c r="H153" s="57" t="n"/>
    </row>
    <row r="154" ht="15.75" customHeight="1" s="215">
      <c r="B154" s="70" t="n">
        <v>143</v>
      </c>
      <c r="C154" s="81" t="inlineStr">
        <is>
          <t>CSS-19 – h1 con font-size 3.2em y line-height 1.1.</t>
        </is>
      </c>
      <c r="E154" s="79" t="inlineStr">
        <is>
          <t>x</t>
        </is>
      </c>
      <c r="F154" s="57" t="n"/>
      <c r="G154" s="57" t="n"/>
      <c r="H154" s="57" t="n"/>
    </row>
    <row r="155" ht="15.75" customHeight="1" s="215">
      <c r="B155" s="70" t="n">
        <v>144</v>
      </c>
      <c r="C155" s="81" t="inlineStr">
        <is>
          <t>CSS-20 – button con border-radius 8px.</t>
        </is>
      </c>
      <c r="E155" s="79" t="inlineStr">
        <is>
          <t>x</t>
        </is>
      </c>
      <c r="F155" s="57" t="n"/>
      <c r="G155" s="57" t="n"/>
      <c r="H155" s="57" t="n"/>
    </row>
    <row r="156" ht="15.75" customHeight="1" s="215">
      <c r="B156" s="70" t="n">
        <v>145</v>
      </c>
      <c r="C156" s="81" t="inlineStr">
        <is>
          <t>R-01 – Ruta / debe cargar Home.</t>
        </is>
      </c>
      <c r="E156" s="79" t="inlineStr">
        <is>
          <t>x</t>
        </is>
      </c>
      <c r="F156" s="57" t="n"/>
      <c r="G156" s="57" t="n"/>
      <c r="H156" s="57" t="n"/>
    </row>
    <row r="157" ht="15.75" customHeight="1" s="215">
      <c r="B157" s="70" t="n">
        <v>146</v>
      </c>
      <c r="C157" s="81" t="inlineStr">
        <is>
          <t>R-02 – Ruta /Login debe cargar Login.</t>
        </is>
      </c>
      <c r="E157" s="79" t="inlineStr">
        <is>
          <t>x</t>
        </is>
      </c>
      <c r="F157" s="57" t="n"/>
      <c r="G157" s="57" t="n"/>
      <c r="H157" s="57" t="n"/>
    </row>
    <row r="158" ht="15.75" customHeight="1" s="215">
      <c r="B158" s="70" t="n">
        <v>147</v>
      </c>
      <c r="C158" s="81" t="inlineStr">
        <is>
          <t>R-03 – Ruta /Registrar debe cargar Registrar.</t>
        </is>
      </c>
      <c r="E158" s="79" t="inlineStr">
        <is>
          <t>x</t>
        </is>
      </c>
      <c r="F158" s="57" t="n"/>
      <c r="G158" s="57" t="n"/>
      <c r="H158" s="57" t="n"/>
    </row>
    <row r="159" ht="15.75" customHeight="1" s="215">
      <c r="B159" s="70" t="n">
        <v>148</v>
      </c>
      <c r="C159" s="81" t="inlineStr">
        <is>
          <t>R-04 – Ruta /duenodashboard debe cargar Dashboard con ProtectedRoute dueño.</t>
        </is>
      </c>
      <c r="E159" s="79" t="inlineStr">
        <is>
          <t>x</t>
        </is>
      </c>
      <c r="F159" s="57" t="n"/>
      <c r="G159" s="57" t="n"/>
      <c r="H159" s="57" t="n"/>
    </row>
    <row r="160" ht="15.75" customHeight="1" s="215">
      <c r="B160" s="70" t="n">
        <v>149</v>
      </c>
      <c r="C160" s="81" t="inlineStr">
        <is>
          <t>R-05 – Ruta /admindashboard debe cargar AdminDashboard con ProtectedRoute administrador.</t>
        </is>
      </c>
      <c r="E160" s="79" t="inlineStr">
        <is>
          <t>x</t>
        </is>
      </c>
      <c r="F160" s="57" t="n"/>
      <c r="G160" s="57" t="n"/>
      <c r="H160" s="57" t="n"/>
    </row>
    <row r="161" ht="15.75" customHeight="1" s="215">
      <c r="B161" s="70" t="n">
        <v>150</v>
      </c>
      <c r="C161" s="81" t="inlineStr">
        <is>
          <t>R-06 – Ruta /EmpleadoDashboard debe cargar EmployeeDashboard con ProtectedRoute empleado.</t>
        </is>
      </c>
      <c r="E161" s="79" t="inlineStr">
        <is>
          <t>x</t>
        </is>
      </c>
      <c r="F161" s="57" t="n"/>
      <c r="G161" s="57" t="n"/>
      <c r="H161" s="57" t="n"/>
    </row>
    <row r="162" ht="15.75" customHeight="1" s="215">
      <c r="B162" s="70" t="n">
        <v>151</v>
      </c>
      <c r="C162" s="81" t="inlineStr">
        <is>
          <t>R-07 – Ruta /ClienteDashboard debe cargar ClientDashboard con ProtectedRoute cliente.</t>
        </is>
      </c>
      <c r="E162" s="79" t="inlineStr">
        <is>
          <t>x</t>
        </is>
      </c>
      <c r="F162" s="57" t="n"/>
      <c r="G162" s="57" t="n"/>
      <c r="H162" s="57" t="n"/>
    </row>
    <row r="163" ht="15.75" customHeight="1" s="215">
      <c r="B163" s="70" t="n">
        <v>152</v>
      </c>
      <c r="C163" s="81" t="inlineStr">
        <is>
          <t>R-08 – Ruta /Restaurant debe cargar Restaurant.</t>
        </is>
      </c>
      <c r="E163" s="79" t="inlineStr">
        <is>
          <t>x</t>
        </is>
      </c>
      <c r="F163" s="57" t="n"/>
      <c r="G163" s="57" t="n"/>
      <c r="H163" s="57" t="n"/>
    </row>
    <row r="164" ht="15.75" customHeight="1" s="215">
      <c r="B164" s="70" t="n">
        <v>153</v>
      </c>
      <c r="C164" s="81" t="inlineStr">
        <is>
          <t>R-09 – Ruta /Datos_personales debe cargar PersonalData.</t>
        </is>
      </c>
      <c r="E164" s="79" t="inlineStr">
        <is>
          <t>x</t>
        </is>
      </c>
      <c r="F164" s="57" t="n"/>
      <c r="G164" s="57" t="n"/>
      <c r="H164" s="57" t="n"/>
    </row>
    <row r="165" ht="15.75" customHeight="1" s="215">
      <c r="B165" s="70" t="n">
        <v>154</v>
      </c>
      <c r="C165" s="81" t="inlineStr">
        <is>
          <t>R-10 – Ruta /Pasarela_pagos debe cargar PaymentGateway.</t>
        </is>
      </c>
      <c r="E165" s="79" t="inlineStr">
        <is>
          <t>x</t>
        </is>
      </c>
      <c r="F165" s="57" t="n"/>
      <c r="G165" s="57" t="n"/>
      <c r="H165" s="57" t="n"/>
    </row>
    <row r="166" ht="15.75" customHeight="1" s="215">
      <c r="B166" s="70" t="n">
        <v>155</v>
      </c>
      <c r="C166" s="81" t="inlineStr">
        <is>
          <t>R-11 – Ruta /pago-exitoso debe cargar PagoExitoso.</t>
        </is>
      </c>
      <c r="E166" s="79" t="inlineStr">
        <is>
          <t>x</t>
        </is>
      </c>
      <c r="F166" s="57" t="n"/>
      <c r="G166" s="57" t="n"/>
      <c r="H166" s="57" t="n"/>
    </row>
    <row r="167" ht="15.75" customHeight="1" s="215">
      <c r="B167" s="70" t="n">
        <v>156</v>
      </c>
      <c r="C167" s="81" t="inlineStr">
        <is>
          <t>R-12 – Ruta /ver-correo/:uid debe cargar ViewEmailPage protegida.</t>
        </is>
      </c>
      <c r="E167" s="79" t="inlineStr">
        <is>
          <t>x</t>
        </is>
      </c>
      <c r="F167" s="57" t="n"/>
      <c r="G167" s="57" t="n"/>
      <c r="H167" s="57" t="n"/>
    </row>
    <row r="168" ht="15.75" customHeight="1" s="215">
      <c r="B168" s="70" t="n">
        <v>157</v>
      </c>
      <c r="C168" s="81" t="inlineStr">
        <is>
          <t>ANIM-01 – Variante fadeInUp en animaciones.</t>
        </is>
      </c>
      <c r="E168" s="79" t="inlineStr">
        <is>
          <t>x</t>
        </is>
      </c>
      <c r="F168" s="57" t="n"/>
      <c r="G168" s="57" t="n"/>
      <c r="H168" s="57" t="n"/>
    </row>
    <row r="169" ht="15.75" customHeight="1" s="215">
      <c r="B169" s="70" t="n">
        <v>158</v>
      </c>
      <c r="C169" s="81" t="inlineStr">
        <is>
          <t>ANIM-02 – Variante fadeInDown en animaciones.</t>
        </is>
      </c>
      <c r="E169" s="79" t="inlineStr">
        <is>
          <t>x</t>
        </is>
      </c>
      <c r="F169" s="57" t="n"/>
      <c r="G169" s="57" t="n"/>
      <c r="H169" s="57" t="n"/>
    </row>
    <row r="170" ht="15.75" customHeight="1" s="215">
      <c r="B170" s="70" t="n">
        <v>159</v>
      </c>
      <c r="C170" s="81" t="inlineStr">
        <is>
          <t>ANIM-03 – Variante fadeIn en animaciones.</t>
        </is>
      </c>
      <c r="E170" s="79" t="inlineStr">
        <is>
          <t>x</t>
        </is>
      </c>
      <c r="F170" s="57" t="n"/>
      <c r="G170" s="57" t="n"/>
      <c r="H170" s="57" t="n"/>
    </row>
    <row r="171" ht="15.75" customHeight="1" s="215">
      <c r="B171" s="70" t="n">
        <v>160</v>
      </c>
      <c r="C171" s="81" t="inlineStr">
        <is>
          <t>ANIM-04 – Variante scaleIn en animaciones.</t>
        </is>
      </c>
      <c r="E171" s="79" t="inlineStr">
        <is>
          <t>x</t>
        </is>
      </c>
      <c r="F171" s="57" t="n"/>
      <c r="G171" s="57" t="n"/>
      <c r="H171" s="57" t="n"/>
    </row>
    <row r="172" ht="15.75" customHeight="1" s="215">
      <c r="B172" s="70" t="n">
        <v>161</v>
      </c>
      <c r="C172" s="81" t="inlineStr">
        <is>
          <t>ANIM-05 – Variante slideInRight en animaciones.</t>
        </is>
      </c>
      <c r="E172" s="79" t="inlineStr">
        <is>
          <t>x</t>
        </is>
      </c>
      <c r="F172" s="57" t="n"/>
      <c r="G172" s="57" t="n"/>
      <c r="H172" s="57" t="n"/>
    </row>
    <row r="173" ht="15.75" customHeight="1" s="215">
      <c r="B173" s="70" t="n">
        <v>162</v>
      </c>
      <c r="C173" s="81" t="inlineStr">
        <is>
          <t>ANIM-06 – Variante slideInLeft en animaciones.</t>
        </is>
      </c>
      <c r="E173" s="79" t="inlineStr">
        <is>
          <t>x</t>
        </is>
      </c>
      <c r="F173" s="57" t="n"/>
      <c r="G173" s="57" t="n"/>
      <c r="H173" s="57" t="n"/>
    </row>
    <row r="174" ht="15.75" customHeight="1" s="215">
      <c r="B174" s="70" t="n">
        <v>163</v>
      </c>
      <c r="C174" s="81" t="inlineStr">
        <is>
          <t>ANIM-07 – Variante staggerContainer en animaciones.</t>
        </is>
      </c>
      <c r="E174" s="79" t="inlineStr">
        <is>
          <t>x</t>
        </is>
      </c>
      <c r="F174" s="57" t="n"/>
      <c r="G174" s="57" t="n"/>
      <c r="H174" s="57" t="n"/>
    </row>
    <row r="175" ht="15.75" customHeight="1" s="215">
      <c r="B175" s="70" t="n">
        <v>164</v>
      </c>
      <c r="C175" s="81" t="inlineStr">
        <is>
          <t>ANIM-08 – Variantes staggerChildrenFast y staggerChildrenSlow.</t>
        </is>
      </c>
      <c r="E175" s="79" t="inlineStr">
        <is>
          <t>x</t>
        </is>
      </c>
      <c r="F175" s="57" t="n"/>
      <c r="G175" s="57" t="n"/>
      <c r="H175" s="57" t="n"/>
    </row>
    <row r="176" ht="15.75" customHeight="1" s="215">
      <c r="B176" s="70" t="n">
        <v>165</v>
      </c>
      <c r="C176" s="81" t="inlineStr">
        <is>
          <t>ANIM-09 – transitionFast, transitionNormal, transitionSlow en animaciones.</t>
        </is>
      </c>
      <c r="E176" s="79" t="inlineStr">
        <is>
          <t>x</t>
        </is>
      </c>
      <c r="F176" s="57" t="n"/>
      <c r="G176" s="57" t="n"/>
      <c r="H176" s="57" t="n"/>
    </row>
    <row r="177" ht="15.75" customHeight="1" s="215">
      <c r="B177" s="70" t="n">
        <v>166</v>
      </c>
      <c r="C177" s="81" t="inlineStr">
        <is>
          <t>ANIM-10 – hoverScale y tapScale en animaciones.</t>
        </is>
      </c>
      <c r="E177" s="79" t="inlineStr">
        <is>
          <t>x</t>
        </is>
      </c>
      <c r="F177" s="57" t="n"/>
      <c r="G177" s="57" t="n"/>
      <c r="H177" s="57" t="n"/>
    </row>
    <row r="178" ht="15.75" customHeight="1" s="215">
      <c r="B178" s="70" t="n">
        <v>167</v>
      </c>
      <c r="C178" s="81" t="inlineStr">
        <is>
          <t>T-01 – Toast "Exportado" / "Informe CSV descargado correctamente." en Dashboard.</t>
        </is>
      </c>
      <c r="E178" s="79" t="inlineStr">
        <is>
          <t>x</t>
        </is>
      </c>
      <c r="F178" s="57" t="n"/>
      <c r="G178" s="57" t="n"/>
      <c r="H178" s="57" t="n"/>
    </row>
    <row r="179" ht="15.75" customHeight="1" s="215">
      <c r="B179" s="70" t="n">
        <v>168</v>
      </c>
      <c r="C179" s="81" t="inlineStr">
        <is>
          <t>T-02 – Toast "Enviado" / "Factura enviada por email al cliente." en Dashboard.</t>
        </is>
      </c>
      <c r="E179" s="79" t="inlineStr">
        <is>
          <t>x</t>
        </is>
      </c>
      <c r="F179" s="57" t="n"/>
      <c r="G179" s="57" t="n"/>
      <c r="H179" s="57" t="n"/>
    </row>
    <row r="180" ht="15.75" customHeight="1" s="215">
      <c r="B180" s="70" t="n">
        <v>169</v>
      </c>
      <c r="C180" s="81" t="inlineStr">
        <is>
          <t>T-03 – Toast "Error de validación" / "Las contraseñas no coinciden." en registrar.</t>
        </is>
      </c>
      <c r="E180" s="79" t="inlineStr">
        <is>
          <t>x</t>
        </is>
      </c>
      <c r="F180" s="57" t="n"/>
      <c r="G180" s="57" t="n"/>
      <c r="H180" s="57" t="n"/>
    </row>
    <row r="181" ht="15.75" customHeight="1" s="215">
      <c r="B181" s="70" t="n">
        <v>170</v>
      </c>
      <c r="C181" s="81" t="inlineStr">
        <is>
          <t>T-04 – Toast "Registro exitoso" en registrar.</t>
        </is>
      </c>
      <c r="E181" s="79" t="inlineStr">
        <is>
          <t>x</t>
        </is>
      </c>
      <c r="F181" s="57" t="n"/>
      <c r="G181" s="57" t="n"/>
      <c r="H181" s="57" t="n"/>
    </row>
    <row r="182" ht="15.75" customHeight="1" s="215">
      <c r="B182" s="70" t="n">
        <v>171</v>
      </c>
      <c r="C182" s="81" t="inlineStr">
        <is>
          <t>T-05 – Toast "Campos incompletos" en Restaurant.</t>
        </is>
      </c>
      <c r="E182" s="79" t="inlineStr">
        <is>
          <t>x</t>
        </is>
      </c>
      <c r="F182" s="57" t="n"/>
      <c r="G182" s="57" t="n"/>
      <c r="H182" s="57" t="n"/>
    </row>
    <row r="183" ht="15.75" customHeight="1" s="215">
      <c r="B183" s="70" t="n">
        <v>172</v>
      </c>
      <c r="C183" s="81" t="inlineStr">
        <is>
          <t>T-06 – Toast "Sesión requerida" / "Debes iniciar sesión para hacer una reserva" en Restaurant.</t>
        </is>
      </c>
      <c r="E183" s="79" t="inlineStr">
        <is>
          <t>x</t>
        </is>
      </c>
      <c r="F183" s="57" t="n"/>
      <c r="G183" s="57" t="n"/>
      <c r="H183" s="57" t="n"/>
    </row>
    <row r="184" ht="15.75" customHeight="1" s="215">
      <c r="B184" s="70" t="n">
        <v>173</v>
      </c>
      <c r="C184" s="81" t="inlineStr">
        <is>
          <t>T-07 – Toast "Error de selección" / "Mesa no encontrada" en Restaurant.</t>
        </is>
      </c>
      <c r="E184" s="79" t="inlineStr">
        <is>
          <t>x</t>
        </is>
      </c>
      <c r="F184" s="57" t="n"/>
      <c r="G184" s="57" t="n"/>
      <c r="H184" s="57" t="n"/>
    </row>
    <row r="185" ht="15.75" customHeight="1" s="215">
      <c r="B185" s="70" t="n">
        <v>174</v>
      </c>
      <c r="C185" s="81" t="inlineStr">
        <is>
          <t>T-08 – Toast "Perfil actualizado" en edit_profile_modal.</t>
        </is>
      </c>
      <c r="E185" s="79" t="inlineStr">
        <is>
          <t>x</t>
        </is>
      </c>
      <c r="F185" s="57" t="n"/>
      <c r="G185" s="57" t="n"/>
      <c r="H185" s="57" t="n"/>
    </row>
    <row r="186" ht="15.75" customHeight="1" s="215">
      <c r="B186" s="70" t="n">
        <v>175</v>
      </c>
      <c r="C186" s="81" t="inlineStr">
        <is>
          <t>T-09 – Toast "Inicio de sesión exitoso" / "Bienvenido a Reservify" en Login.</t>
        </is>
      </c>
      <c r="E186" s="79" t="inlineStr">
        <is>
          <t>x</t>
        </is>
      </c>
      <c r="F186" s="57" t="n"/>
      <c r="G186" s="57" t="n"/>
      <c r="H186" s="57" t="n"/>
    </row>
    <row r="187" ht="15.75" customHeight="1" s="215">
      <c r="B187" s="70" t="n">
        <v>176</v>
      </c>
      <c r="C187" s="81" t="inlineStr">
        <is>
          <t>T-10 – Toast "Error de inicio de sesión" en Login.</t>
        </is>
      </c>
      <c r="E187" s="79" t="inlineStr">
        <is>
          <t>x</t>
        </is>
      </c>
      <c r="F187" s="57" t="n"/>
      <c r="G187" s="57" t="n"/>
      <c r="H187" s="57" t="n"/>
    </row>
    <row r="188" ht="15.75" customHeight="1" s="215">
      <c r="B188" s="70" t="n">
        <v>177</v>
      </c>
      <c r="C188" s="81" t="inlineStr">
        <is>
          <t>T-11 – Toast "Acceso denegado" en ProtectedRoute.</t>
        </is>
      </c>
      <c r="E188" s="79" t="inlineStr">
        <is>
          <t>x</t>
        </is>
      </c>
      <c r="F188" s="57" t="n"/>
      <c r="G188" s="57" t="n"/>
      <c r="H188" s="57" t="n"/>
    </row>
    <row r="189" ht="15.75" customHeight="1" s="215">
      <c r="B189" s="70" t="n">
        <v>178</v>
      </c>
      <c r="C189" s="81" t="inlineStr">
        <is>
          <t>T-12 – Toast "Motivo requerido" en ProfileModal al cancelar reserva.</t>
        </is>
      </c>
      <c r="E189" s="79" t="inlineStr">
        <is>
          <t>x</t>
        </is>
      </c>
      <c r="F189" s="57" t="n"/>
      <c r="G189" s="57" t="n"/>
      <c r="H189" s="57" t="n"/>
    </row>
    <row r="190" ht="15.75" customHeight="1" s="215">
      <c r="B190" s="70" t="n">
        <v>179</v>
      </c>
      <c r="C190" s="81" t="inlineStr">
        <is>
          <t>T-13 – Toast "Reserva cancelada" en ProfileModal.</t>
        </is>
      </c>
      <c r="E190" s="79" t="inlineStr">
        <is>
          <t>x</t>
        </is>
      </c>
      <c r="F190" s="57" t="n"/>
      <c r="G190" s="57" t="n"/>
      <c r="H190" s="57" t="n"/>
    </row>
    <row r="191" ht="15.75" customHeight="1" s="215">
      <c r="B191" s="70" t="n">
        <v>180</v>
      </c>
      <c r="C191" s="81" t="inlineStr">
        <is>
          <t>T-14 – Toast "Guardado" / "Datos del restaurante actualizados." en RestaurantConfigModal.</t>
        </is>
      </c>
      <c r="E191" s="79" t="inlineStr">
        <is>
          <t>x</t>
        </is>
      </c>
      <c r="F191" s="57" t="n"/>
      <c r="G191" s="57" t="n"/>
      <c r="H191" s="57" t="n"/>
    </row>
    <row r="192" ht="15.75" customHeight="1" s="215">
      <c r="B192" s="70" t="n">
        <v>181</v>
      </c>
      <c r="C192" s="81" t="inlineStr">
        <is>
          <t>T-15 – Toast "Mesa agregada" / "La mesa se ha añadido correctamente." en RestaurantConfigModal.</t>
        </is>
      </c>
      <c r="E192" s="79" t="inlineStr">
        <is>
          <t>x</t>
        </is>
      </c>
      <c r="F192" s="57" t="n"/>
      <c r="G192" s="57" t="n"/>
      <c r="H192" s="57" t="n"/>
    </row>
    <row r="193" ht="15.75" customHeight="1" s="215">
      <c r="B193" s="70" t="n">
        <v>182</v>
      </c>
      <c r="C193" s="81" t="inlineStr">
        <is>
          <t>T-16 – Toast "Empleado asignado" en RestaurantConfigModal.</t>
        </is>
      </c>
      <c r="E193" s="79" t="inlineStr">
        <is>
          <t>x</t>
        </is>
      </c>
      <c r="F193" s="57" t="n"/>
      <c r="G193" s="57" t="n"/>
      <c r="H193" s="57" t="n"/>
    </row>
    <row r="194" ht="15.75" customHeight="1" s="215">
      <c r="B194" s="70" t="n">
        <v>183</v>
      </c>
      <c r="C194" s="81" t="inlineStr">
        <is>
          <t>T-17 – Toast "Restaurante creado" en AddRestaurantModal.</t>
        </is>
      </c>
      <c r="E194" s="79" t="inlineStr">
        <is>
          <t>x</t>
        </is>
      </c>
      <c r="F194" s="57" t="n"/>
      <c r="G194" s="57" t="n"/>
      <c r="H194" s="57" t="n"/>
    </row>
    <row r="195" ht="15.75" customHeight="1" s="215">
      <c r="B195" s="70" t="n">
        <v>184</v>
      </c>
      <c r="C195" s="81" t="inlineStr">
        <is>
          <t>T-18 – Toast "¡Reseña enviada!" en ReviewForm.</t>
        </is>
      </c>
      <c r="E195" s="79" t="inlineStr">
        <is>
          <t>x</t>
        </is>
      </c>
      <c r="F195" s="57" t="n"/>
      <c r="G195" s="57" t="n"/>
      <c r="H195" s="57" t="n"/>
    </row>
    <row r="196" ht="15.75" customHeight="1" s="215">
      <c r="B196" s="70" t="n">
        <v>185</v>
      </c>
      <c r="C196" s="81" t="inlineStr">
        <is>
          <t>T-19 – Toast "Calificación requerida" en ReviewForm.</t>
        </is>
      </c>
      <c r="E196" s="79" t="inlineStr">
        <is>
          <t>x</t>
        </is>
      </c>
      <c r="F196" s="57" t="n"/>
      <c r="G196" s="57" t="n"/>
      <c r="H196" s="57" t="n"/>
    </row>
    <row r="197" ht="15.75" customHeight="1" s="215">
      <c r="B197" s="70" t="n">
        <v>186</v>
      </c>
      <c r="C197" s="81" t="inlineStr">
        <is>
          <t>T-20 – Toast "Sesión expirada" en checkout-page.</t>
        </is>
      </c>
      <c r="E197" s="79" t="inlineStr">
        <is>
          <t>x</t>
        </is>
      </c>
      <c r="F197" s="57" t="n"/>
      <c r="G197" s="57" t="n"/>
      <c r="H197" s="57" t="n"/>
    </row>
    <row r="198" ht="15.75" customHeight="1" s="215">
      <c r="B198" s="70" t="n">
        <v>187</v>
      </c>
      <c r="C198" s="81" t="inlineStr">
        <is>
          <t>FR-21a – El componente HeroSection debe existir y mostrarse en Home.</t>
        </is>
      </c>
      <c r="E198" s="79" t="inlineStr">
        <is>
          <t>x</t>
        </is>
      </c>
      <c r="F198" s="57" t="n"/>
      <c r="G198" s="57" t="n"/>
      <c r="H198" s="57" t="n"/>
    </row>
    <row r="199" ht="15.75" customHeight="1" s="215">
      <c r="B199" s="70" t="n">
        <v>188</v>
      </c>
      <c r="C199" s="81" t="inlineStr">
        <is>
          <t>FR-21b – El componente SearchBar debe existir y mostrarse en Home.</t>
        </is>
      </c>
      <c r="E199" s="79" t="inlineStr">
        <is>
          <t>x</t>
        </is>
      </c>
      <c r="F199" s="57" t="n"/>
      <c r="G199" s="57" t="n"/>
      <c r="H199" s="57" t="n"/>
    </row>
    <row r="200" ht="15.75" customHeight="1" s="215">
      <c r="B200" s="70" t="n">
        <v>189</v>
      </c>
      <c r="C200" s="81" t="inlineStr">
        <is>
          <t>FR-21c – El componente CuisineCarousel debe existir y mostrarse en Home.</t>
        </is>
      </c>
      <c r="E200" s="79" t="inlineStr">
        <is>
          <t>x</t>
        </is>
      </c>
      <c r="F200" s="57" t="n"/>
      <c r="G200" s="57" t="n"/>
      <c r="H200" s="57" t="n"/>
    </row>
    <row r="201" ht="15.75" customHeight="1" s="215">
      <c r="B201" s="70" t="n">
        <v>190</v>
      </c>
      <c r="C201" s="81" t="inlineStr">
        <is>
          <t>FR-21d – El componente FeaturesSection debe existir y mostrarse en Home.</t>
        </is>
      </c>
      <c r="E201" s="79" t="inlineStr">
        <is>
          <t>x</t>
        </is>
      </c>
      <c r="F201" s="57" t="n"/>
      <c r="G201" s="57" t="n"/>
      <c r="H201" s="57" t="n"/>
    </row>
    <row r="202" ht="15.75" customHeight="1" s="215">
      <c r="B202" s="70" t="n">
        <v>191</v>
      </c>
      <c r="C202" s="81" t="inlineStr">
        <is>
          <t>FR-21e – El componente CTASection debe existir y mostrarse en Home.</t>
        </is>
      </c>
      <c r="E202" s="79" t="inlineStr">
        <is>
          <t>x</t>
        </is>
      </c>
      <c r="F202" s="57" t="n"/>
      <c r="G202" s="57" t="n"/>
      <c r="H202" s="57" t="n"/>
    </row>
    <row r="203" ht="15.75" customHeight="1" s="215">
      <c r="B203" s="70" t="n">
        <v>192</v>
      </c>
      <c r="C203" s="81" t="inlineStr">
        <is>
          <t>FR-21f – El componente Footer debe existir y mostrarse en Home.</t>
        </is>
      </c>
      <c r="E203" s="79" t="inlineStr">
        <is>
          <t>x</t>
        </is>
      </c>
      <c r="F203" s="57" t="n"/>
      <c r="G203" s="57" t="n"/>
      <c r="H203" s="57" t="n"/>
    </row>
    <row r="204" ht="15.75" customHeight="1" s="215">
      <c r="B204" s="70" t="n">
        <v>193</v>
      </c>
      <c r="C204" s="81" t="inlineStr">
        <is>
          <t>FR-21g – El componente DailyFlow debe existir y usarse en Dashboard.</t>
        </is>
      </c>
      <c r="E204" s="79" t="inlineStr">
        <is>
          <t>x</t>
        </is>
      </c>
      <c r="F204" s="57" t="n"/>
      <c r="G204" s="57" t="n"/>
      <c r="H204" s="57" t="n"/>
    </row>
    <row r="205" ht="15.75" customHeight="1" s="215">
      <c r="B205" s="70" t="n">
        <v>194</v>
      </c>
      <c r="C205" s="81" t="inlineStr">
        <is>
          <t>FR-21h – El componente RestaurantReservationsModal debe existir y usarse en Dashboard/AdminDashboard.</t>
        </is>
      </c>
      <c r="E205" s="79" t="inlineStr">
        <is>
          <t>x</t>
        </is>
      </c>
      <c r="F205" s="57" t="n"/>
      <c r="G205" s="57" t="n"/>
      <c r="H205" s="57" t="n"/>
    </row>
    <row r="206" ht="15.75" customHeight="1" s="215">
      <c r="B206" s="70" t="n">
        <v>195</v>
      </c>
      <c r="C206" s="81" t="inlineStr">
        <is>
          <t>FR-21i – El componente app-sidebar debe existir y mostrarse en Dashboard.</t>
        </is>
      </c>
      <c r="E206" s="79" t="inlineStr">
        <is>
          <t>x</t>
        </is>
      </c>
      <c r="F206" s="57" t="n"/>
      <c r="G206" s="57" t="n"/>
      <c r="H206" s="57" t="n"/>
    </row>
    <row r="207" ht="15.75" customHeight="1" s="215">
      <c r="B207" s="70" t="n">
        <v>196</v>
      </c>
      <c r="C207" s="81" t="inlineStr">
        <is>
          <t>FR-21j – El componente CookieConsentModal debe existir y mostrarse en App.</t>
        </is>
      </c>
      <c r="E207" s="79" t="inlineStr">
        <is>
          <t>x</t>
        </is>
      </c>
      <c r="F207" s="57" t="n"/>
      <c r="G207" s="57" t="n"/>
      <c r="H207" s="57" t="n"/>
    </row>
    <row r="208" ht="15.75" customHeight="1" s="215">
      <c r="B208" s="70" t="n">
        <v>197</v>
      </c>
      <c r="C208" s="81" t="inlineStr">
        <is>
          <t>FR-21k – El componente ToastContainer debe existir y mostrarse globalmente.</t>
        </is>
      </c>
      <c r="E208" s="79" t="inlineStr">
        <is>
          <t>x</t>
        </is>
      </c>
      <c r="F208" s="57" t="n"/>
      <c r="G208" s="57" t="n"/>
      <c r="H208" s="57" t="n"/>
    </row>
    <row r="209" ht="15.75" customHeight="1" s="215">
      <c r="B209" s="70" t="n">
        <v>198</v>
      </c>
      <c r="C209" s="81" t="inlineStr">
        <is>
          <t>FR-21l – El componente CheckoutPage debe existir y mostrarse en PaymentGateway.</t>
        </is>
      </c>
      <c r="E209" s="79" t="inlineStr">
        <is>
          <t>x</t>
        </is>
      </c>
      <c r="F209" s="57" t="n"/>
      <c r="G209" s="57" t="n"/>
      <c r="H209" s="57" t="n"/>
    </row>
    <row r="210" ht="15.75" customHeight="1" s="215">
      <c r="B210" s="70" t="n">
        <v>199</v>
      </c>
      <c r="C210" s="81" t="inlineStr">
        <is>
          <t>FR-21m – El componente EmailConfigSection debe existir en Dashboard.</t>
        </is>
      </c>
      <c r="E210" s="79" t="inlineStr">
        <is>
          <t>x</t>
        </is>
      </c>
      <c r="F210" s="57" t="n"/>
      <c r="G210" s="57" t="n"/>
      <c r="H210" s="57" t="n"/>
    </row>
    <row r="211" ht="15.75" customHeight="1" s="215">
      <c r="B211" s="70" t="n">
        <v>200</v>
      </c>
      <c r="C211" s="81" t="inlineStr">
        <is>
          <t>FR-21n – El componente EmailsSection debe existir en Dashboard.</t>
        </is>
      </c>
      <c r="E211" s="79" t="inlineStr">
        <is>
          <t>x</t>
        </is>
      </c>
      <c r="F211" s="57" t="n"/>
      <c r="G211" s="57" t="n"/>
      <c r="H211" s="57" t="n"/>
    </row>
    <row r="212" ht="15.75" customHeight="1" s="215">
      <c r="B212" s="70" t="n">
        <v>201</v>
      </c>
      <c r="C212" s="81" t="inlineStr">
        <is>
          <t>FR-21o – El componente AddRestaurantModal debe existir y usarse desde Dashboard.</t>
        </is>
      </c>
      <c r="E212" s="79" t="inlineStr">
        <is>
          <t>x</t>
        </is>
      </c>
      <c r="F212" s="57" t="n"/>
      <c r="G212" s="57" t="n"/>
      <c r="H212" s="57" t="n"/>
    </row>
    <row r="213" ht="15.75" customHeight="1" s="215">
      <c r="B213" s="70" t="n">
        <v>202</v>
      </c>
      <c r="C213" s="81" t="inlineStr">
        <is>
          <t>FR-21p – El componente RestaurantConfigModal debe existir y usarse desde Dashboard.</t>
        </is>
      </c>
      <c r="E213" s="79" t="inlineStr">
        <is>
          <t>x</t>
        </is>
      </c>
      <c r="F213" s="57" t="n"/>
      <c r="G213" s="57" t="n"/>
      <c r="H213" s="57" t="n"/>
    </row>
    <row r="214" ht="15.75" customHeight="1" s="215">
      <c r="B214" s="70" t="n">
        <v>203</v>
      </c>
      <c r="C214" s="81" t="inlineStr">
        <is>
          <t>FR-21q – El componente InvoiceDetailModal debe existir y usarse desde Dashboard.</t>
        </is>
      </c>
      <c r="E214" s="79" t="inlineStr">
        <is>
          <t>x</t>
        </is>
      </c>
      <c r="F214" s="57" t="n"/>
      <c r="G214" s="57" t="n"/>
      <c r="H214" s="57" t="n"/>
    </row>
    <row r="215" ht="15.75" customHeight="1" s="215">
      <c r="B215" s="70" t="n">
        <v>204</v>
      </c>
      <c r="C215" s="81" t="inlineStr">
        <is>
          <t>FR-21r – El componente AllReservationsModal debe existir y usarse desde Dashboard.</t>
        </is>
      </c>
      <c r="E215" s="79" t="inlineStr">
        <is>
          <t>x</t>
        </is>
      </c>
      <c r="F215" s="57" t="n"/>
      <c r="G215" s="57" t="n"/>
      <c r="H215" s="57" t="n"/>
    </row>
    <row r="216" ht="15.75" customHeight="1" s="215">
      <c r="B216" s="70" t="n">
        <v>205</v>
      </c>
      <c r="C216" s="81" t="inlineStr">
        <is>
          <t>UI-12a – Clase bg-primary usada en botones principales.</t>
        </is>
      </c>
      <c r="E216" s="79" t="inlineStr">
        <is>
          <t>x</t>
        </is>
      </c>
      <c r="F216" s="57" t="n"/>
      <c r="G216" s="57" t="n"/>
      <c r="H216" s="57" t="n"/>
    </row>
    <row r="217" ht="15.75" customHeight="1" s="215">
      <c r="B217" s="70" t="n">
        <v>206</v>
      </c>
      <c r="C217" s="81" t="inlineStr">
        <is>
          <t>UI-12b – Clase hover:border-primary usada en tarjetas de restaurante.</t>
        </is>
      </c>
      <c r="E217" s="79" t="inlineStr">
        <is>
          <t>x</t>
        </is>
      </c>
      <c r="F217" s="57" t="n"/>
      <c r="G217" s="57" t="n"/>
      <c r="H217" s="57" t="n"/>
    </row>
    <row r="218" ht="15.75" customHeight="1" s="215">
      <c r="B218" s="70" t="n">
        <v>207</v>
      </c>
      <c r="C218" s="81" t="inlineStr">
        <is>
          <t>UI-12c – Clase focus:border-primary en inputs de búsqueda.</t>
        </is>
      </c>
      <c r="E218" s="79" t="inlineStr">
        <is>
          <t>x</t>
        </is>
      </c>
      <c r="F218" s="57" t="n"/>
      <c r="G218" s="57" t="n"/>
      <c r="H218" s="57" t="n"/>
    </row>
    <row r="219" ht="15.75" customHeight="1" s="215">
      <c r="B219" s="70" t="n">
        <v>208</v>
      </c>
      <c r="C219" s="81" t="inlineStr">
        <is>
          <t>UI-12d – Clase animate-spin usada en spinners de carga.</t>
        </is>
      </c>
      <c r="E219" s="79" t="inlineStr">
        <is>
          <t>x</t>
        </is>
      </c>
      <c r="F219" s="57" t="n"/>
      <c r="G219" s="57" t="n"/>
      <c r="H219" s="57" t="n"/>
    </row>
    <row r="220" ht="15.75" customHeight="1" s="215">
      <c r="B220" s="70" t="n">
        <v>209</v>
      </c>
      <c r="C220" s="81" t="inlineStr">
        <is>
          <t>UI-12e – Clase rounded-lg en cards y contenedores.</t>
        </is>
      </c>
      <c r="E220" s="79" t="inlineStr">
        <is>
          <t>x</t>
        </is>
      </c>
      <c r="F220" s="57" t="n"/>
      <c r="G220" s="57" t="n"/>
      <c r="H220" s="57" t="n"/>
    </row>
    <row r="221" ht="15.75" customHeight="1" s="215">
      <c r="B221" s="70" t="n">
        <v>210</v>
      </c>
      <c r="C221" s="81" t="inlineStr">
        <is>
          <t>UI-12f – Clase shadow-md en cards.</t>
        </is>
      </c>
      <c r="E221" s="79" t="inlineStr">
        <is>
          <t>x</t>
        </is>
      </c>
      <c r="F221" s="57" t="n"/>
      <c r="G221" s="57" t="n"/>
      <c r="H221" s="57" t="n"/>
    </row>
    <row r="222" ht="15.75" customHeight="1" s="215">
      <c r="B222" s="70" t="n">
        <v>211</v>
      </c>
      <c r="C222" s="81" t="inlineStr">
        <is>
          <t>UI-12g – Clase from-primary to-secondary en gradientes de botón.</t>
        </is>
      </c>
      <c r="E222" s="79" t="inlineStr">
        <is>
          <t>x</t>
        </is>
      </c>
      <c r="F222" s="57" t="n"/>
      <c r="G222" s="57" t="n"/>
      <c r="H222" s="57" t="n"/>
    </row>
    <row r="223" ht="15.75" customHeight="1" s="215">
      <c r="B223" s="70" t="n">
        <v>212</v>
      </c>
      <c r="C223" s="81" t="inlineStr">
        <is>
          <t>UI-13a – Texto literal "Ver disponibilidad" en botón de restaurante destacado.</t>
        </is>
      </c>
      <c r="E223" s="79" t="inlineStr">
        <is>
          <t>x</t>
        </is>
      </c>
      <c r="F223" s="57" t="n"/>
      <c r="G223" s="57" t="n"/>
      <c r="H223" s="57" t="n"/>
    </row>
    <row r="224" ht="15.75" customHeight="1" s="215">
      <c r="B224" s="70" t="n">
        <v>213</v>
      </c>
      <c r="C224" s="81" t="inlineStr">
        <is>
          <t>UI-13b – Texto literal "Iniciar Sesión" en Header/Login.</t>
        </is>
      </c>
      <c r="E224" s="79" t="inlineStr">
        <is>
          <t>x</t>
        </is>
      </c>
      <c r="F224" s="57" t="n"/>
      <c r="G224" s="57" t="n"/>
      <c r="H224" s="57" t="n"/>
    </row>
    <row r="225" ht="15.75" customHeight="1" s="215">
      <c r="B225" s="70" t="n">
        <v>214</v>
      </c>
      <c r="C225" s="81" t="inlineStr">
        <is>
          <t>UI-13c – Texto literal "Registrarse" en Header.</t>
        </is>
      </c>
      <c r="E225" s="79" t="inlineStr">
        <is>
          <t>x</t>
        </is>
      </c>
      <c r="F225" s="57" t="n"/>
      <c r="G225" s="57" t="n"/>
      <c r="H225" s="57" t="n"/>
    </row>
    <row r="226" ht="15.75" customHeight="1" s="215">
      <c r="B226" s="70" t="n">
        <v>215</v>
      </c>
      <c r="C226" s="81" t="inlineStr">
        <is>
          <t>UI-13d – Texto literal "Restaurantes Destacados" en Home.</t>
        </is>
      </c>
      <c r="E226" s="79" t="inlineStr">
        <is>
          <t>x</t>
        </is>
      </c>
      <c r="F226" s="57" t="n"/>
      <c r="G226" s="57" t="n"/>
      <c r="H226" s="57" t="n"/>
    </row>
    <row r="227" ht="15.75" customHeight="1" s="215">
      <c r="B227" s="70" t="n">
        <v>216</v>
      </c>
      <c r="C227" s="84" t="inlineStr">
        <is>
          <t>UI-13e – Texto literal "Reserva Instantánea" en FeaturesSection.</t>
        </is>
      </c>
      <c r="E227" s="79" t="inlineStr">
        <is>
          <t>x</t>
        </is>
      </c>
      <c r="F227" s="57" t="n"/>
      <c r="G227" s="57" t="n"/>
      <c r="H227" s="57" t="n"/>
    </row>
    <row r="228" ht="15.75" customHeight="1" s="215">
      <c r="B228" s="70" t="n">
        <v>217</v>
      </c>
      <c r="C228" s="81" t="inlineStr">
        <is>
          <t>UI-13f – Texto literal "Para Todos" en FeaturesSection.</t>
        </is>
      </c>
      <c r="E228" s="79" t="inlineStr">
        <is>
          <t>x</t>
        </is>
      </c>
      <c r="F228" s="57" t="n"/>
      <c r="G228" s="57" t="n"/>
      <c r="H228" s="57" t="n"/>
    </row>
    <row r="229" ht="15.75" customHeight="1" s="215">
      <c r="B229" s="70" t="n">
        <v>218</v>
      </c>
      <c r="C229" s="81" t="inlineStr">
        <is>
          <t>UI-13g – Texto literal "Los Mejores" en FeaturesSection.</t>
        </is>
      </c>
      <c r="E229" s="79" t="inlineStr">
        <is>
          <t>x</t>
        </is>
      </c>
      <c r="F229" s="57" t="n"/>
      <c r="G229" s="57" t="n"/>
      <c r="H229" s="57" t="n"/>
    </row>
    <row r="230" ht="15.75" customHeight="1" s="215">
      <c r="B230" s="70" t="n">
        <v>219</v>
      </c>
      <c r="C230" s="81" t="inlineStr">
        <is>
          <t>UI-13h – Texto literal "Descargar app" en CTASection.</t>
        </is>
      </c>
      <c r="E230" s="79" t="inlineStr">
        <is>
          <t>x</t>
        </is>
      </c>
      <c r="F230" s="57" t="n"/>
      <c r="G230" s="57" t="n"/>
      <c r="H230" s="57" t="n"/>
    </row>
    <row r="231" ht="15.75" customHeight="1" s="215">
      <c r="B231" s="70" t="n">
        <v>220</v>
      </c>
      <c r="C231" s="81" t="inlineStr">
        <is>
          <t>UI-13i – Texto literal "Buscar" en SearchBar.</t>
        </is>
      </c>
      <c r="E231" s="79" t="inlineStr">
        <is>
          <t>x</t>
        </is>
      </c>
      <c r="F231" s="57" t="n"/>
      <c r="G231" s="57" t="n"/>
      <c r="H231" s="57" t="n"/>
    </row>
    <row r="232" ht="15.75" customHeight="1" s="215">
      <c r="B232" s="70" t="n">
        <v>221</v>
      </c>
      <c r="C232" s="81" t="inlineStr">
        <is>
          <t>UI-13j – Placeholder o label de búsqueda en SearchBar.</t>
        </is>
      </c>
      <c r="E232" s="79" t="inlineStr">
        <is>
          <t>x</t>
        </is>
      </c>
      <c r="F232" s="57" t="n"/>
      <c r="G232" s="57" t="n"/>
      <c r="H232" s="57" t="n"/>
    </row>
    <row r="233" ht="15.75" customHeight="1" s="215">
      <c r="B233" s="70" t="n">
        <v>222</v>
      </c>
      <c r="C233" s="81" t="inlineStr">
        <is>
          <t>UI-13k – Texto "Disponible hoy" o "Reservar mañana" en tarjeta de restaurante.</t>
        </is>
      </c>
      <c r="E233" s="79" t="inlineStr">
        <is>
          <t>x</t>
        </is>
      </c>
      <c r="F233" s="57" t="n"/>
      <c r="G233" s="57" t="n"/>
      <c r="H233" s="57" t="n"/>
    </row>
    <row r="234" ht="15.75" customHeight="1" s="215">
      <c r="B234" s="70" t="n">
        <v>223</v>
      </c>
      <c r="C234" s="81" t="inlineStr">
        <is>
          <t>UI-14a – Botón "Iniciar Sesión" en Login con bg-primary.</t>
        </is>
      </c>
      <c r="E234" s="79" t="inlineStr">
        <is>
          <t>x</t>
        </is>
      </c>
      <c r="F234" s="57" t="n"/>
      <c r="G234" s="57" t="n"/>
      <c r="H234" s="57" t="n"/>
    </row>
    <row r="235" ht="15.75" customHeight="1" s="215">
      <c r="B235" s="70" t="n">
        <v>224</v>
      </c>
      <c r="C235" s="81" t="inlineStr">
        <is>
          <t>UI-14b – Campo email en Login con type="email" y required.</t>
        </is>
      </c>
      <c r="E235" s="79" t="inlineStr">
        <is>
          <t>x</t>
        </is>
      </c>
      <c r="F235" s="57" t="n"/>
      <c r="G235" s="57" t="n"/>
      <c r="H235" s="57" t="n"/>
    </row>
    <row r="236" ht="15.75" customHeight="1" s="215">
      <c r="B236" s="70" t="n">
        <v>225</v>
      </c>
      <c r="C236" s="81" t="inlineStr">
        <is>
          <t>UI-14c – Campo contraseña en Login con type="password".</t>
        </is>
      </c>
      <c r="E236" s="79" t="inlineStr">
        <is>
          <t>x</t>
        </is>
      </c>
      <c r="F236" s="57" t="n"/>
      <c r="G236" s="57" t="n"/>
      <c r="H236" s="57" t="n"/>
    </row>
    <row r="237" ht="15.75" customHeight="1" s="215">
      <c r="B237" s="70" t="n">
        <v>226</v>
      </c>
      <c r="C237" s="81" t="inlineStr">
        <is>
          <t>UI-14d – Enlace "¿Olvidaste tu contraseña?" en Login.</t>
        </is>
      </c>
      <c r="E237" s="79" t="inlineStr">
        <is>
          <t>x</t>
        </is>
      </c>
      <c r="F237" s="57" t="n"/>
      <c r="G237" s="57" t="n"/>
      <c r="H237" s="57" t="n"/>
    </row>
    <row r="238" ht="15.75" customHeight="1" s="215">
      <c r="B238" s="70" t="n">
        <v>227</v>
      </c>
      <c r="C238" s="81" t="inlineStr">
        <is>
          <t>UI-14e – Enlace a registro en Login.</t>
        </is>
      </c>
      <c r="E238" s="79" t="inlineStr">
        <is>
          <t>x</t>
        </is>
      </c>
      <c r="F238" s="57" t="n"/>
      <c r="G238" s="57" t="n"/>
      <c r="H238" s="57" t="n"/>
    </row>
    <row r="239" ht="15.75" customHeight="1" s="215">
      <c r="B239" s="70" t="n">
        <v>228</v>
      </c>
      <c r="C239" s="81" t="inlineStr">
        <is>
          <t>UI-15a – Sección de reserva en Restaurant con selección de fecha.</t>
        </is>
      </c>
      <c r="E239" s="79" t="inlineStr">
        <is>
          <t>x</t>
        </is>
      </c>
      <c r="F239" s="57" t="n"/>
      <c r="G239" s="57" t="n"/>
      <c r="H239" s="57" t="n"/>
    </row>
    <row r="240" ht="15.75" customHeight="1" s="215">
      <c r="B240" s="70" t="n">
        <v>229</v>
      </c>
      <c r="C240" s="81" t="inlineStr">
        <is>
          <t>UI-15b – Sección de reserva en Restaurant con selección de horario (slots).</t>
        </is>
      </c>
      <c r="E240" s="79" t="inlineStr">
        <is>
          <t>x</t>
        </is>
      </c>
      <c r="F240" s="57" t="n"/>
      <c r="G240" s="57" t="n"/>
      <c r="H240" s="57" t="n"/>
    </row>
    <row r="241" ht="15.75" customHeight="1" s="215">
      <c r="B241" s="70" t="n">
        <v>230</v>
      </c>
      <c r="C241" s="81" t="inlineStr">
        <is>
          <t>UI-15c – Sección de reserva en Restaurant con selección de número de comensales.</t>
        </is>
      </c>
      <c r="E241" s="79" t="inlineStr">
        <is>
          <t>x</t>
        </is>
      </c>
      <c r="F241" s="57" t="n"/>
      <c r="G241" s="57" t="n"/>
      <c r="H241" s="57" t="n"/>
    </row>
    <row r="242" ht="15.75" customHeight="1" s="215">
      <c r="B242" s="70" t="n">
        <v>231</v>
      </c>
      <c r="C242" s="81" t="inlineStr">
        <is>
          <t>UI-15d – Sección de reserva en Restaurant con selección de mesa.</t>
        </is>
      </c>
      <c r="E242" s="79" t="inlineStr">
        <is>
          <t>x</t>
        </is>
      </c>
      <c r="F242" s="57" t="n"/>
      <c r="G242" s="57" t="n"/>
      <c r="H242" s="57" t="n"/>
    </row>
    <row r="243" ht="15.75" customHeight="1" s="215">
      <c r="B243" s="70" t="n">
        <v>232</v>
      </c>
      <c r="C243" s="81" t="inlineStr">
        <is>
          <t>UI-15e – Resumen de pago antes de confirmar en Restaurant.</t>
        </is>
      </c>
      <c r="E243" s="79" t="inlineStr">
        <is>
          <t>x</t>
        </is>
      </c>
      <c r="F243" s="57" t="n"/>
      <c r="G243" s="57" t="n"/>
      <c r="H243" s="57" t="n"/>
    </row>
    <row r="244" ht="15.75" customHeight="1" s="215">
      <c r="B244" s="70" t="n">
        <v>233</v>
      </c>
      <c r="C244" s="81" t="inlineStr">
        <is>
          <t>UI-16a – Modal de reservas con sección activas en RestaurantReservationsModal.</t>
        </is>
      </c>
      <c r="E244" s="79" t="inlineStr">
        <is>
          <t>x</t>
        </is>
      </c>
      <c r="F244" s="57" t="n"/>
      <c r="G244" s="57" t="n"/>
      <c r="H244" s="57" t="n"/>
    </row>
    <row r="245" ht="15.75" customHeight="1" s="215">
      <c r="B245" s="70" t="n">
        <v>234</v>
      </c>
      <c r="C245" s="81" t="inlineStr">
        <is>
          <t>UI-16b – Modal de reservas con sección pendientes.</t>
        </is>
      </c>
      <c r="E245" s="79" t="inlineStr">
        <is>
          <t>x</t>
        </is>
      </c>
      <c r="F245" s="57" t="n"/>
      <c r="G245" s="57" t="n"/>
      <c r="H245" s="57" t="n"/>
    </row>
    <row r="246" ht="15.75" customHeight="1" s="215">
      <c r="B246" s="70" t="n">
        <v>235</v>
      </c>
      <c r="C246" s="81" t="inlineStr">
        <is>
          <t>UI-16c – Modal de reservas con sección finalizadas.</t>
        </is>
      </c>
      <c r="E246" s="79" t="inlineStr">
        <is>
          <t>x</t>
        </is>
      </c>
      <c r="F246" s="57" t="n"/>
      <c r="G246" s="57" t="n"/>
      <c r="H246" s="57" t="n"/>
    </row>
    <row r="247" ht="15.75" customHeight="1" s="215">
      <c r="B247" s="70" t="n">
        <v>236</v>
      </c>
      <c r="C247" s="81" t="inlineStr">
        <is>
          <t>UI-16d – Modal de reservas con sección canceladas.</t>
        </is>
      </c>
      <c r="E247" s="79" t="inlineStr">
        <is>
          <t>x</t>
        </is>
      </c>
      <c r="F247" s="57" t="n"/>
      <c r="G247" s="57" t="n"/>
      <c r="H247" s="57" t="n"/>
    </row>
    <row r="248" ht="15.75" customHeight="1" s="215">
      <c r="B248" s="70" t="n">
        <v>237</v>
      </c>
      <c r="C248" s="81" t="inlineStr">
        <is>
          <t>UI-16e – Diálogo de cancelación con motivo en RestaurantReservationsModal.</t>
        </is>
      </c>
      <c r="E248" s="79" t="inlineStr">
        <is>
          <t>x</t>
        </is>
      </c>
      <c r="F248" s="57" t="n"/>
      <c r="G248" s="57" t="n"/>
      <c r="H248" s="57" t="n"/>
    </row>
    <row r="249" ht="15.75" customHeight="1" s="215">
      <c r="B249" s="70" t="n">
        <v>238</v>
      </c>
      <c r="C249" s="81" t="inlineStr">
        <is>
          <t>UI-17a – Ítems de menú del sidebar con texto visible (dashboard, restaurantes, reservas, etc.).</t>
        </is>
      </c>
      <c r="E249" s="79" t="inlineStr">
        <is>
          <t>x</t>
        </is>
      </c>
      <c r="F249" s="57" t="n"/>
      <c r="G249" s="57" t="n"/>
      <c r="H249" s="57" t="n"/>
    </row>
    <row r="250" ht="15.75" customHeight="1" s="215">
      <c r="B250" s="70" t="n">
        <v>239</v>
      </c>
      <c r="C250" s="81" t="inlineStr">
        <is>
          <t>UI-17b – Ítems de menú para flujo diario, empleados, clientes, correos, configuración.</t>
        </is>
      </c>
      <c r="E250" s="79" t="inlineStr">
        <is>
          <t>x</t>
        </is>
      </c>
      <c r="F250" s="57" t="n"/>
      <c r="G250" s="57" t="n"/>
      <c r="H250" s="57" t="n"/>
    </row>
    <row r="251" ht="15.75" customHeight="1" s="215">
      <c r="B251" s="70" t="n">
        <v>240</v>
      </c>
      <c r="C251" s="81" t="inlineStr">
        <is>
          <t>UI-18a – metric-cards en Dashboard para métricas.</t>
        </is>
      </c>
      <c r="E251" s="79" t="inlineStr">
        <is>
          <t>x</t>
        </is>
      </c>
      <c r="F251" s="57" t="n"/>
      <c r="G251" s="57" t="n"/>
      <c r="H251" s="57" t="n"/>
    </row>
    <row r="252" ht="15.75" customHeight="1" s="215">
      <c r="B252" s="70" t="n">
        <v>241</v>
      </c>
      <c r="C252" s="81" t="inlineStr">
        <is>
          <t>UI-18b – monthly-chart en Dashboard para gráfico mensual.</t>
        </is>
      </c>
      <c r="E252" s="79" t="inlineStr">
        <is>
          <t>x</t>
        </is>
      </c>
      <c r="F252" s="57" t="n"/>
      <c r="G252" s="57" t="n"/>
      <c r="H252" s="57" t="n"/>
    </row>
    <row r="253" ht="15.75" customHeight="1" s="215">
      <c r="B253" s="70" t="n">
        <v>242</v>
      </c>
      <c r="C253" s="81" t="inlineStr">
        <is>
          <t>UI-19a – Botón o acción exportar CSV en Dashboard.</t>
        </is>
      </c>
      <c r="E253" s="79" t="inlineStr">
        <is>
          <t>x</t>
        </is>
      </c>
      <c r="F253" s="57" t="n"/>
      <c r="G253" s="57" t="n"/>
      <c r="H253" s="57" t="n"/>
    </row>
    <row r="254" ht="15.75" customHeight="1" s="215">
      <c r="B254" s="70" t="n">
        <v>243</v>
      </c>
      <c r="C254" s="81" t="inlineStr">
        <is>
          <t>UI-19b – Botón o acción descargar PDF de factura en Dashboard.</t>
        </is>
      </c>
      <c r="E254" s="79" t="inlineStr">
        <is>
          <t>x</t>
        </is>
      </c>
      <c r="F254" s="57" t="n"/>
      <c r="G254" s="57" t="n"/>
      <c r="H254" s="57" t="n"/>
    </row>
    <row r="255" ht="15.75" customHeight="1" s="215">
      <c r="B255" s="70" t="n">
        <v>244</v>
      </c>
      <c r="C255" s="81" t="inlineStr">
        <is>
          <t>UI-20a – Modal de cookies con texto de consentimiento.</t>
        </is>
      </c>
      <c r="E255" s="79" t="inlineStr">
        <is>
          <t>x</t>
        </is>
      </c>
      <c r="F255" s="57" t="n"/>
      <c r="G255" s="57" t="n"/>
      <c r="H255" s="57" t="n"/>
    </row>
    <row r="256" ht="15.75" customHeight="1" s="215">
      <c r="B256" s="70" t="n">
        <v>245</v>
      </c>
      <c r="C256" s="81" t="inlineStr">
        <is>
          <t>UI-20b – Botón aceptar en CookieConsentModal.</t>
        </is>
      </c>
      <c r="E256" s="79" t="inlineStr">
        <is>
          <t>x</t>
        </is>
      </c>
      <c r="F256" s="57" t="n"/>
      <c r="G256" s="57" t="n"/>
      <c r="H256" s="57" t="n"/>
    </row>
    <row r="257" ht="15.75" customHeight="1" s="215">
      <c r="B257" s="70" t="n">
        <v>246</v>
      </c>
      <c r="C257" s="81" t="inlineStr">
        <is>
          <t>UI-20c – Botón rechazar o configurar en CookieConsentModal.</t>
        </is>
      </c>
      <c r="E257" s="79" t="inlineStr">
        <is>
          <t>x</t>
        </is>
      </c>
      <c r="F257" s="57" t="n"/>
      <c r="G257" s="57" t="n"/>
      <c r="H257" s="57" t="n"/>
    </row>
    <row r="258" ht="15.75" customHeight="1" s="215">
      <c r="B258" s="70" t="n">
        <v>247</v>
      </c>
      <c r="C258" s="81" t="inlineStr">
        <is>
          <t>LG-10a – PersonalData debe mostrar campos de perfil (nombre, apellido, documento, etc.).</t>
        </is>
      </c>
      <c r="E258" s="79" t="inlineStr">
        <is>
          <t>x</t>
        </is>
      </c>
      <c r="F258" s="57" t="n"/>
      <c r="G258" s="57" t="n"/>
      <c r="H258" s="57" t="n"/>
    </row>
    <row r="259" ht="15.75" customHeight="1" s="215">
      <c r="B259" s="70" t="n">
        <v>248</v>
      </c>
      <c r="C259" s="81" t="inlineStr">
        <is>
          <t>LG-10b – EditProfileModal o equivalente para editar datos de perfil.</t>
        </is>
      </c>
      <c r="E259" s="79" t="inlineStr">
        <is>
          <t>x</t>
        </is>
      </c>
      <c r="F259" s="57" t="n"/>
      <c r="G259" s="57" t="n"/>
      <c r="H259" s="57" t="n"/>
    </row>
    <row r="260" ht="15.75" customHeight="1" s="215">
      <c r="B260" s="70" t="n">
        <v>249</v>
      </c>
      <c r="C260" s="81" t="inlineStr">
        <is>
          <t>LG-10c – Redirección post-login según rol (dueno → duenodashboard, etc.).</t>
        </is>
      </c>
      <c r="E260" s="79" t="inlineStr">
        <is>
          <t>x</t>
        </is>
      </c>
      <c r="F260" s="57" t="n"/>
      <c r="G260" s="57" t="n"/>
      <c r="H260" s="57" t="n"/>
    </row>
    <row r="261" ht="15.75" customHeight="1" s="215">
      <c r="B261" s="70" t="n">
        <v>250</v>
      </c>
      <c r="C261" s="81" t="inlineStr">
        <is>
          <t>FR-22a – Texto "Reserva en tu restaurante favorito" en HeroSection.</t>
        </is>
      </c>
      <c r="E261" s="79" t="inlineStr">
        <is>
          <t>x</t>
        </is>
      </c>
      <c r="F261" s="57" t="n"/>
      <c r="G261" s="57" t="n"/>
      <c r="H261" s="57" t="n"/>
    </row>
    <row r="262" ht="15.75" customHeight="1" s="215">
      <c r="B262" s="70" t="n">
        <v>251</v>
      </c>
      <c r="C262" s="81" t="inlineStr">
        <is>
          <t>FR-22b – HeroSection usa gradiente from-primary/10 via-background to-accent/20.</t>
        </is>
      </c>
      <c r="E262" s="79" t="inlineStr">
        <is>
          <t>x</t>
        </is>
      </c>
      <c r="F262" s="57" t="n"/>
      <c r="G262" s="57" t="n"/>
      <c r="H262" s="57" t="n"/>
    </row>
    <row r="263" ht="15.75" customHeight="1" s="215">
      <c r="B263" s="70" t="n">
        <v>252</v>
      </c>
      <c r="C263" s="81" t="inlineStr">
        <is>
          <t>FR-22c – CuisineCarousel incluye tipos Italiana, Japonesa, Mexicana, Vegetariana.</t>
        </is>
      </c>
      <c r="E263" s="79" t="inlineStr">
        <is>
          <t>x</t>
        </is>
      </c>
      <c r="F263" s="57" t="n"/>
      <c r="G263" s="57" t="n"/>
      <c r="H263" s="57" t="n"/>
    </row>
    <row r="264" ht="15.75" customHeight="1" s="215">
      <c r="B264" s="70" t="n">
        <v>253</v>
      </c>
      <c r="C264" s="81" t="inlineStr">
        <is>
          <t>FR-22d – CuisineCarousel usa Card y transitionNormal de animations.</t>
        </is>
      </c>
      <c r="E264" s="79" t="inlineStr">
        <is>
          <t>x</t>
        </is>
      </c>
      <c r="F264" s="57" t="n"/>
      <c r="G264" s="57" t="n"/>
      <c r="H264" s="57" t="n"/>
    </row>
    <row r="265" ht="15.75" customHeight="1" s="215">
      <c r="B265" s="70" t="n">
        <v>254</v>
      </c>
      <c r="C265" s="81" t="inlineStr">
        <is>
          <t>FR-22e – Footer enlace "Acerca de" a #acerca_de.</t>
        </is>
      </c>
      <c r="E265" s="79" t="inlineStr">
        <is>
          <t>x</t>
        </is>
      </c>
      <c r="F265" s="57" t="n"/>
      <c r="G265" s="57" t="n"/>
      <c r="H265" s="57" t="n"/>
    </row>
    <row r="266" ht="15.75" customHeight="1" s="215">
      <c r="B266" s="70" t="n">
        <v>255</v>
      </c>
      <c r="C266" s="81" t="inlineStr">
        <is>
          <t>FR-22f – Footer enlace "Contacto".</t>
        </is>
      </c>
      <c r="E266" s="79" t="inlineStr">
        <is>
          <t>x</t>
        </is>
      </c>
      <c r="F266" s="57" t="n"/>
      <c r="G266" s="57" t="n"/>
      <c r="H266" s="57" t="n"/>
    </row>
    <row r="267" ht="15.75" customHeight="1" s="215">
      <c r="B267" s="70" t="n">
        <v>256</v>
      </c>
      <c r="C267" s="81" t="inlineStr">
        <is>
          <t>FR-22g – Texto "Hacer Reserva" en Restaurant.</t>
        </is>
      </c>
      <c r="E267" s="79" t="inlineStr">
        <is>
          <t>x</t>
        </is>
      </c>
      <c r="F267" s="57" t="n"/>
      <c r="G267" s="57" t="n"/>
      <c r="H267" s="57" t="n"/>
    </row>
    <row r="268" ht="15.75" customHeight="1" s="215">
      <c r="B268" s="70" t="n">
        <v>257</v>
      </c>
      <c r="C268" s="81" t="inlineStr">
        <is>
          <t>FR-22h – Texto "Resumen de Reserva" en Restaurant.</t>
        </is>
      </c>
      <c r="E268" s="79" t="inlineStr">
        <is>
          <t>x</t>
        </is>
      </c>
      <c r="F268" s="57" t="n"/>
      <c r="G268" s="57" t="n"/>
      <c r="H268" s="57" t="n"/>
    </row>
    <row r="269" ht="15.75" customHeight="1" s="215">
      <c r="B269" s="70" t="n">
        <v>258</v>
      </c>
      <c r="C269" s="81" t="inlineStr">
        <is>
          <t>FR-22i – Texto "Hacer Pago de Reserva" y "Confirmar Pago de Reserva" en Restaurant.</t>
        </is>
      </c>
      <c r="E269" s="79" t="inlineStr">
        <is>
          <t>x</t>
        </is>
      </c>
      <c r="F269" s="57" t="n"/>
      <c r="G269" s="57" t="n"/>
      <c r="H269" s="57" t="n"/>
    </row>
    <row r="270" ht="15.75" customHeight="1" s="215">
      <c r="B270" s="70" t="n">
        <v>259</v>
      </c>
      <c r="C270" s="81" t="inlineStr">
        <is>
          <t>FR-22j – reservation-summary muestra "Resumen de Reserva".</t>
        </is>
      </c>
      <c r="E270" s="79" t="inlineStr">
        <is>
          <t>x</t>
        </is>
      </c>
      <c r="F270" s="57" t="n"/>
      <c r="G270" s="57" t="n"/>
      <c r="H270" s="57" t="n"/>
    </row>
    <row r="271" ht="15.75" customHeight="1" s="215">
      <c r="B271" s="70" t="n">
        <v>260</v>
      </c>
      <c r="C271" s="81" t="inlineStr">
        <is>
          <t>FR-22k – metric-cards label "Reservas activas".</t>
        </is>
      </c>
      <c r="E271" s="79" t="inlineStr">
        <is>
          <t>x</t>
        </is>
      </c>
      <c r="F271" s="57" t="n"/>
      <c r="G271" s="57" t="n"/>
      <c r="H271" s="57" t="n"/>
    </row>
    <row r="272" ht="15.75" customHeight="1" s="215">
      <c r="B272" s="70" t="n">
        <v>261</v>
      </c>
      <c r="C272" s="81" t="inlineStr">
        <is>
          <t>FR-22l – dasbboard-stats título "Reservas Hoy".</t>
        </is>
      </c>
      <c r="E272" s="79" t="inlineStr">
        <is>
          <t>x</t>
        </is>
      </c>
      <c r="F272" s="57" t="n"/>
      <c r="G272" s="57" t="n"/>
      <c r="H272" s="57" t="n"/>
    </row>
    <row r="273" ht="15.75" customHeight="1" s="215">
      <c r="B273" s="70" t="n">
        <v>262</v>
      </c>
      <c r="C273" s="81" t="inlineStr">
        <is>
          <t>FR-22m – Sidebar_2 ítem "Reservas" con icono Calendar.</t>
        </is>
      </c>
      <c r="E273" s="79" t="inlineStr">
        <is>
          <t>x</t>
        </is>
      </c>
      <c r="F273" s="57" t="n"/>
      <c r="G273" s="57" t="n"/>
      <c r="H273" s="57" t="n"/>
    </row>
    <row r="274" ht="15.75" customHeight="1" s="215">
      <c r="B274" s="70" t="n">
        <v>263</v>
      </c>
      <c r="C274" s="81" t="inlineStr">
        <is>
          <t>FR-22n – Reservations_2 texto "Reservas de hoy".</t>
        </is>
      </c>
      <c r="E274" s="79" t="inlineStr">
        <is>
          <t>x</t>
        </is>
      </c>
      <c r="F274" s="57" t="n"/>
      <c r="G274" s="57" t="n"/>
      <c r="H274" s="57" t="n"/>
    </row>
    <row r="275" ht="15.75" customHeight="1" s="215">
      <c r="B275" s="70" t="n">
        <v>264</v>
      </c>
      <c r="C275" s="81" t="inlineStr">
        <is>
          <t>FR-22o – AllReservationsModal título "Todas las Reservas".</t>
        </is>
      </c>
      <c r="E275" s="79" t="inlineStr">
        <is>
          <t>x</t>
        </is>
      </c>
      <c r="F275" s="57" t="n"/>
      <c r="G275" s="57" t="n"/>
      <c r="H275" s="57" t="n"/>
    </row>
    <row r="276" ht="15.75" customHeight="1" s="215">
      <c r="B276" s="70" t="n">
        <v>265</v>
      </c>
      <c r="C276" s="81" t="inlineStr">
        <is>
          <t>FR-22p – ProfileModal pestaña "Reservas".</t>
        </is>
      </c>
      <c r="E276" s="79" t="inlineStr">
        <is>
          <t>x</t>
        </is>
      </c>
      <c r="F276" s="57" t="n"/>
      <c r="G276" s="57" t="n"/>
      <c r="H276" s="57" t="n"/>
    </row>
    <row r="277" ht="15.75" customHeight="1" s="215">
      <c r="B277" s="70" t="n">
        <v>266</v>
      </c>
      <c r="C277" s="81" t="inlineStr">
        <is>
          <t>FR-22q – ProfileModal diálogo "Reserva Cancelada".</t>
        </is>
      </c>
      <c r="E277" s="79" t="inlineStr">
        <is>
          <t>x</t>
        </is>
      </c>
      <c r="F277" s="57" t="n"/>
      <c r="G277" s="57" t="n"/>
      <c r="H277" s="57" t="n"/>
    </row>
    <row r="278" ht="15.75" customHeight="1" s="215">
      <c r="B278" s="70" t="n">
        <v>267</v>
      </c>
      <c r="C278" s="81" t="inlineStr">
        <is>
          <t>FR-22r – Header alt "Reservify - Reserva en tu restaurante favorito".</t>
        </is>
      </c>
      <c r="E278" s="79" t="inlineStr">
        <is>
          <t>x</t>
        </is>
      </c>
      <c r="F278" s="57" t="n"/>
      <c r="G278" s="57" t="n"/>
      <c r="H278" s="57" t="n"/>
    </row>
    <row r="279" ht="15.75" customHeight="1" s="215">
      <c r="B279" s="70" t="n">
        <v>268</v>
      </c>
      <c r="C279" s="81" t="inlineStr">
        <is>
          <t>UI-21a – Restaurant usa hover:scale-105 en galería de imágenes.</t>
        </is>
      </c>
      <c r="E279" s="79" t="inlineStr">
        <is>
          <t>x</t>
        </is>
      </c>
      <c r="F279" s="57" t="n"/>
      <c r="G279" s="57" t="n"/>
      <c r="H279" s="57" t="n"/>
    </row>
    <row r="280" ht="15.75" customHeight="1" s="215">
      <c r="B280" s="70" t="n">
        <v>269</v>
      </c>
      <c r="C280" s="81" t="inlineStr">
        <is>
          <t>UI-21b – Toast variant destructive usado en errores.</t>
        </is>
      </c>
      <c r="E280" s="79" t="inlineStr">
        <is>
          <t>x</t>
        </is>
      </c>
      <c r="F280" s="57" t="n"/>
      <c r="G280" s="57" t="n"/>
      <c r="H280" s="57" t="n"/>
    </row>
    <row r="281" ht="15.75" customHeight="1" s="215">
      <c r="B281" s="70" t="n">
        <v>270</v>
      </c>
      <c r="C281" s="81" t="inlineStr">
        <is>
          <t>UI-21c – Dialog con overlay para modales.</t>
        </is>
      </c>
      <c r="E281" s="79" t="inlineStr">
        <is>
          <t>x</t>
        </is>
      </c>
      <c r="F281" s="57" t="n"/>
      <c r="G281" s="57" t="n"/>
      <c r="H281" s="57" t="n"/>
    </row>
    <row r="282" ht="15.75" customHeight="1" s="215">
      <c r="B282" s="70" t="n">
        <v>271</v>
      </c>
      <c r="C282" s="81" t="inlineStr">
        <is>
          <t>UI-21d – Clase bg-card en tarjetas del dashboard.</t>
        </is>
      </c>
      <c r="E282" s="79" t="inlineStr">
        <is>
          <t>x</t>
        </is>
      </c>
      <c r="F282" s="57" t="n"/>
      <c r="G282" s="57" t="n"/>
      <c r="H282" s="57" t="n"/>
    </row>
    <row r="283" ht="15.75" customHeight="1" s="215">
      <c r="B283" s="70" t="n">
        <v>272</v>
      </c>
      <c r="C283" s="81" t="inlineStr">
        <is>
          <t>UI-21e – Clase text-muted-foreground para texto secundario.</t>
        </is>
      </c>
      <c r="E283" s="79" t="inlineStr">
        <is>
          <t>x</t>
        </is>
      </c>
      <c r="F283" s="57" t="n"/>
      <c r="G283" s="57" t="n"/>
      <c r="H283" s="57" t="n"/>
    </row>
    <row r="284" ht="15.75" customHeight="1" s="215">
      <c r="B284" s="70" t="n">
        <v>273</v>
      </c>
      <c r="C284" s="81" t="inlineStr">
        <is>
          <t>UI-21f – Clase text-foreground para texto principal.</t>
        </is>
      </c>
      <c r="E284" s="79" t="inlineStr">
        <is>
          <t>x</t>
        </is>
      </c>
      <c r="F284" s="57" t="n"/>
      <c r="G284" s="57" t="n"/>
      <c r="H284" s="57" t="n"/>
    </row>
    <row r="285" ht="15.75" customHeight="1" s="215">
      <c r="B285" s="70" t="n">
        <v>274</v>
      </c>
      <c r="C285" s="81" t="inlineStr">
        <is>
          <t>UI-22a – PersonalData página con formulario de datos personales.</t>
        </is>
      </c>
      <c r="E285" s="79" t="inlineStr">
        <is>
          <t>x</t>
        </is>
      </c>
      <c r="F285" s="57" t="n"/>
      <c r="G285" s="57" t="n"/>
      <c r="H285" s="57" t="n"/>
    </row>
    <row r="286" ht="15.75" customHeight="1" s="215">
      <c r="B286" s="70" t="n">
        <v>275</v>
      </c>
      <c r="C286" s="81" t="inlineStr">
        <is>
          <t>UI-22b – ViewEmailPage para ver detalle de correo.</t>
        </is>
      </c>
      <c r="E286" s="79" t="inlineStr">
        <is>
          <t>x</t>
        </is>
      </c>
      <c r="F286" s="57" t="n"/>
      <c r="G286" s="57" t="n"/>
      <c r="H286" s="57" t="n"/>
    </row>
    <row r="287" ht="15.75" customHeight="1" s="215">
      <c r="B287" s="70" t="n">
        <v>276</v>
      </c>
      <c r="C287" s="81" t="inlineStr">
        <is>
          <t>UI-22c – PagoExitoso página post-pago.</t>
        </is>
      </c>
      <c r="E287" s="79" t="inlineStr">
        <is>
          <t>x</t>
        </is>
      </c>
      <c r="F287" s="57" t="n"/>
      <c r="G287" s="57" t="n"/>
      <c r="H287" s="57" t="n"/>
    </row>
    <row r="288" ht="15.75" customHeight="1" s="215">
      <c r="B288" s="70" t="n">
        <v>277</v>
      </c>
      <c r="C288" s="81" t="inlineStr">
        <is>
          <t>UI-22d – NotFound página 404.</t>
        </is>
      </c>
      <c r="E288" s="79" t="inlineStr">
        <is>
          <t>x</t>
        </is>
      </c>
      <c r="F288" s="57" t="n"/>
      <c r="G288" s="57" t="n"/>
      <c r="H288" s="57" t="n"/>
    </row>
    <row r="289" ht="15.75" customHeight="1" s="215">
      <c r="B289" s="70" t="n">
        <v>278</v>
      </c>
      <c r="C289" s="81" t="inlineStr">
        <is>
          <t>T-21 – Toast "Categoría creada" en AddRestaurantModal.</t>
        </is>
      </c>
      <c r="E289" s="79" t="inlineStr">
        <is>
          <t>x</t>
        </is>
      </c>
      <c r="F289" s="57" t="n"/>
      <c r="G289" s="57" t="n"/>
      <c r="H289" s="57" t="n"/>
    </row>
    <row r="290" ht="15.75" customHeight="1" s="215">
      <c r="B290" s="70" t="n">
        <v>279</v>
      </c>
      <c r="C290" s="81" t="inlineStr">
        <is>
          <t>T-22 – Toast "Imagen principal" / "Subida correctamente." en AddRestaurantModal.</t>
        </is>
      </c>
      <c r="E290" s="79" t="inlineStr">
        <is>
          <t>x</t>
        </is>
      </c>
      <c r="F290" s="57" t="n"/>
      <c r="G290" s="57" t="n"/>
      <c r="H290" s="57" t="n"/>
    </row>
    <row r="291" ht="15.75" customHeight="1" s="215">
      <c r="B291" s="70" t="n">
        <v>280</v>
      </c>
      <c r="C291" s="81" t="inlineStr">
        <is>
          <t>T-23 – Toast "Límite" / "Máximo 15 imágenes de referencia." en AddRestaurantModal.</t>
        </is>
      </c>
      <c r="E291" s="79" t="inlineStr">
        <is>
          <t>x</t>
        </is>
      </c>
      <c r="F291" s="57" t="n"/>
      <c r="G291" s="57" t="n"/>
      <c r="H291" s="57" t="n"/>
    </row>
    <row r="292" ht="15.75" customHeight="1" s="215">
      <c r="B292" s="70" t="n">
        <v>281</v>
      </c>
      <c r="C292" s="81" t="inlineStr">
        <is>
          <t>T-24 – Toast "Administrador asignado" en RestaurantConfigModal.</t>
        </is>
      </c>
      <c r="E292" s="79" t="inlineStr">
        <is>
          <t>x</t>
        </is>
      </c>
      <c r="F292" s="57" t="n"/>
      <c r="G292" s="57" t="n"/>
      <c r="H292" s="57" t="n"/>
    </row>
    <row r="293" ht="15.75" customHeight="1" s="215">
      <c r="B293" s="70" t="n">
        <v>282</v>
      </c>
      <c r="C293" s="81" t="inlineStr">
        <is>
          <t>T-25 – Toast "Rol actualizado" en RestaurantConfigModal.</t>
        </is>
      </c>
      <c r="E293" s="79" t="inlineStr">
        <is>
          <t>x</t>
        </is>
      </c>
      <c r="F293" s="57" t="n"/>
      <c r="G293" s="57" t="n"/>
      <c r="H293" s="57" t="n"/>
    </row>
    <row r="294" ht="15.75" customHeight="1" s="215">
      <c r="B294" s="70" t="n">
        <v>283</v>
      </c>
      <c r="C294" s="81" t="inlineStr">
        <is>
          <t>T-26 – Toast "Copiado" / "Contraseña copiada al portapapeles." en RestaurantConfigModal.</t>
        </is>
      </c>
      <c r="E294" s="79" t="inlineStr">
        <is>
          <t>x</t>
        </is>
      </c>
      <c r="F294" s="57" t="n"/>
      <c r="G294" s="57" t="n"/>
      <c r="H294" s="57" t="n"/>
    </row>
    <row r="295" ht="15.75" customHeight="1" s="215">
      <c r="B295" s="70" t="n">
        <v>284</v>
      </c>
      <c r="C295" s="81" t="inlineStr">
        <is>
          <t>T-27 – Toast "Comentario muy corto" en ReviewForm.</t>
        </is>
      </c>
      <c r="E295" s="79" t="inlineStr">
        <is>
          <t>x</t>
        </is>
      </c>
      <c r="F295" s="57" t="n"/>
      <c r="G295" s="57" t="n"/>
      <c r="H295" s="57" t="n"/>
    </row>
    <row r="296" ht="15.75" customHeight="1" s="215">
      <c r="B296" s="70" t="n">
        <v>285</v>
      </c>
      <c r="C296" s="81" t="inlineStr">
        <is>
          <t>T-28 – Toast "Error al enviar reseña" en ReviewForm.</t>
        </is>
      </c>
      <c r="E296" s="79" t="inlineStr">
        <is>
          <t>x</t>
        </is>
      </c>
      <c r="F296" s="57" t="n"/>
      <c r="G296" s="57" t="n"/>
      <c r="H296" s="57" t="n"/>
    </row>
    <row r="297" ht="15.75" customHeight="1" s="215">
      <c r="B297" s="70" t="n">
        <v>286</v>
      </c>
      <c r="C297" s="81" t="inlineStr">
        <is>
          <t>T-29 – Toast "Inicia sesión" en ReviewForm.</t>
        </is>
      </c>
      <c r="E297" s="79" t="inlineStr">
        <is>
          <t>x</t>
        </is>
      </c>
      <c r="F297" s="57" t="n"/>
      <c r="G297" s="57" t="n"/>
      <c r="H297" s="57" t="n"/>
    </row>
    <row r="298" ht="15.75" customHeight="1" s="215">
      <c r="B298" s="70" t="n">
        <v>287</v>
      </c>
      <c r="C298" s="81" t="inlineStr">
        <is>
          <t>T-30 – showErrorToast usado para errores genéricos.</t>
        </is>
      </c>
      <c r="E298" s="79" t="inlineStr">
        <is>
          <t>x</t>
        </is>
      </c>
      <c r="F298" s="57" t="n"/>
      <c r="G298" s="57" t="n"/>
      <c r="H298" s="57" t="n"/>
    </row>
    <row r="299" ht="15.75" customHeight="1" s="215">
      <c r="B299" s="70" t="n">
        <v>288</v>
      </c>
      <c r="C299" s="81" t="inlineStr">
        <is>
          <t>FR-23a – InvoiceDetailModal debe existir y mostrar detalle de factura.</t>
        </is>
      </c>
      <c r="E299" s="79" t="inlineStr">
        <is>
          <t>x</t>
        </is>
      </c>
      <c r="F299" s="57" t="n"/>
      <c r="G299" s="57" t="n"/>
      <c r="H299" s="57" t="n"/>
    </row>
    <row r="300" ht="15.75" customHeight="1" s="215">
      <c r="B300" s="70" t="n">
        <v>289</v>
      </c>
      <c r="C300" s="81" t="inlineStr">
        <is>
          <t>FR-23b – AddRestaurantModal campos nombre, categoría, dirección, horarios, imagen.</t>
        </is>
      </c>
      <c r="E300" s="79" t="inlineStr">
        <is>
          <t>x</t>
        </is>
      </c>
      <c r="F300" s="57" t="n"/>
      <c r="G300" s="57" t="n"/>
      <c r="H300" s="57" t="n"/>
    </row>
    <row r="301" ht="15.75" customHeight="1" s="215">
      <c r="B301" s="70" t="n">
        <v>290</v>
      </c>
      <c r="C301" s="81" t="inlineStr">
        <is>
          <t>FR-23c – RestaurantConfigModal sección mesas (agregar, editar, eliminar).</t>
        </is>
      </c>
      <c r="E301" s="79" t="inlineStr">
        <is>
          <t>x</t>
        </is>
      </c>
      <c r="F301" s="57" t="n"/>
      <c r="G301" s="57" t="n"/>
      <c r="H301" s="57" t="n"/>
    </row>
    <row r="302" ht="15.75" customHeight="1" s="215">
      <c r="B302" s="70" t="n">
        <v>291</v>
      </c>
      <c r="C302" s="81" t="inlineStr">
        <is>
          <t>FR-23d – RestaurantConfigModal sección administrador.</t>
        </is>
      </c>
      <c r="E302" s="79" t="inlineStr">
        <is>
          <t>x</t>
        </is>
      </c>
      <c r="F302" s="57" t="n"/>
      <c r="G302" s="57" t="n"/>
      <c r="H302" s="57" t="n"/>
    </row>
    <row r="303" ht="15.75" customHeight="1" s="215">
      <c r="B303" s="70" t="n">
        <v>292</v>
      </c>
      <c r="C303" s="81" t="inlineStr">
        <is>
          <t>FR-23e – RestaurantConfigModal sección asignar empleado.</t>
        </is>
      </c>
      <c r="E303" s="79" t="inlineStr">
        <is>
          <t>x</t>
        </is>
      </c>
      <c r="F303" s="57" t="n"/>
      <c r="G303" s="57" t="n"/>
      <c r="H303" s="57" t="n"/>
    </row>
    <row r="304" ht="15.75" customHeight="1" s="215">
      <c r="B304" s="70" t="n">
        <v>293</v>
      </c>
      <c r="C304" s="81" t="inlineStr">
        <is>
          <t>FR-23f – EmailConfigSection configuración SMTP e IMAP.</t>
        </is>
      </c>
      <c r="E304" s="79" t="inlineStr">
        <is>
          <t>x</t>
        </is>
      </c>
      <c r="F304" s="57" t="n"/>
      <c r="G304" s="57" t="n"/>
      <c r="H304" s="57" t="n"/>
    </row>
    <row r="305" ht="15.75" customHeight="1" s="215">
      <c r="B305" s="70" t="n">
        <v>294</v>
      </c>
      <c r="C305" s="81" t="inlineStr">
        <is>
          <t>FR-23g – EmailsSection listado de correos con opción ver detalle.</t>
        </is>
      </c>
      <c r="E305" s="79" t="inlineStr">
        <is>
          <t>x</t>
        </is>
      </c>
      <c r="F305" s="57" t="n"/>
      <c r="G305" s="57" t="n"/>
      <c r="H305" s="57" t="n"/>
    </row>
    <row r="306" ht="15.75" customHeight="1" s="215">
      <c r="B306" s="70" t="n">
        <v>295</v>
      </c>
      <c r="C306" s="81" t="inlineStr">
        <is>
          <t>FR-23h – PaymentGateway lee pendingReservation de sessionStorage.</t>
        </is>
      </c>
      <c r="E306" s="79" t="inlineStr">
        <is>
          <t>x</t>
        </is>
      </c>
      <c r="F306" s="57" t="n"/>
      <c r="G306" s="57" t="n"/>
      <c r="H306" s="57" t="n"/>
    </row>
    <row r="307" ht="15.75" customHeight="1" s="215">
      <c r="B307" s="70" t="n">
        <v>296</v>
      </c>
      <c r="C307" s="81" t="inlineStr">
        <is>
          <t>FR-23i – CheckoutPage recibe reservationData y muestra resumen.</t>
        </is>
      </c>
      <c r="E307" s="79" t="inlineStr">
        <is>
          <t>x</t>
        </is>
      </c>
      <c r="F307" s="57" t="n"/>
      <c r="G307" s="57" t="n"/>
      <c r="H307" s="57" t="n"/>
    </row>
    <row r="308" ht="15.75" customHeight="1" s="215">
      <c r="B308" s="70" t="n">
        <v>297</v>
      </c>
      <c r="C308" s="81" t="inlineStr">
        <is>
          <t>FR-23j – payment-section validación "Campos incompletos" y "Error en el pago".</t>
        </is>
      </c>
      <c r="E308" s="79" t="inlineStr">
        <is>
          <t>x</t>
        </is>
      </c>
      <c r="F308" s="57" t="n"/>
      <c r="G308" s="57" t="n"/>
      <c r="H308" s="57" t="n"/>
    </row>
    <row r="309" ht="15.75" customHeight="1" s="215">
      <c r="B309" s="70" t="n">
        <v>298</v>
      </c>
      <c r="C309" s="81" t="inlineStr">
        <is>
          <t>FR-24a – Dashboard tab "Vista general" o equivalente.</t>
        </is>
      </c>
      <c r="E309" s="79" t="inlineStr">
        <is>
          <t>x</t>
        </is>
      </c>
      <c r="F309" s="57" t="n"/>
      <c r="G309" s="57" t="n"/>
      <c r="H309" s="57" t="n"/>
    </row>
    <row r="310" ht="15.75" customHeight="1" s="215">
      <c r="B310" s="70" t="n">
        <v>299</v>
      </c>
      <c r="C310" s="81" t="inlineStr">
        <is>
          <t>FR-24b – Dashboard tab restaurantes.</t>
        </is>
      </c>
      <c r="E310" s="79" t="inlineStr">
        <is>
          <t>x</t>
        </is>
      </c>
      <c r="F310" s="57" t="n"/>
      <c r="G310" s="57" t="n"/>
      <c r="H310" s="57" t="n"/>
    </row>
    <row r="311" ht="15.75" customHeight="1" s="215">
      <c r="B311" s="70" t="n">
        <v>300</v>
      </c>
      <c r="C311" s="81" t="inlineStr">
        <is>
          <t>FR-24c – Dashboard tab reservas.</t>
        </is>
      </c>
      <c r="E311" s="79" t="inlineStr">
        <is>
          <t>x</t>
        </is>
      </c>
      <c r="F311" s="57" t="n"/>
      <c r="G311" s="57" t="n"/>
      <c r="H311" s="57" t="n"/>
    </row>
    <row r="312" ht="15.75" customHeight="1" s="215">
      <c r="B312" s="70" t="n">
        <v>301</v>
      </c>
      <c r="C312" s="81" t="inlineStr">
        <is>
          <t>FR-24d – Dashboard tab flujo diario.</t>
        </is>
      </c>
      <c r="E312" s="79" t="inlineStr">
        <is>
          <t>x</t>
        </is>
      </c>
      <c r="F312" s="57" t="n"/>
      <c r="G312" s="57" t="n"/>
      <c r="H312" s="57" t="n"/>
    </row>
    <row r="313" ht="15.75" customHeight="1" s="215">
      <c r="B313" s="70" t="n">
        <v>302</v>
      </c>
      <c r="C313" s="81" t="inlineStr">
        <is>
          <t>FR-24e – Dashboard tab empleados.</t>
        </is>
      </c>
      <c r="E313" s="79" t="inlineStr">
        <is>
          <t>x</t>
        </is>
      </c>
      <c r="F313" s="57" t="n"/>
      <c r="G313" s="57" t="n"/>
      <c r="H313" s="57" t="n"/>
    </row>
    <row r="314" ht="15.75" customHeight="1" s="215">
      <c r="B314" s="70" t="n">
        <v>303</v>
      </c>
      <c r="C314" s="81" t="inlineStr">
        <is>
          <t>FR-24f – Dashboard tab clientes.</t>
        </is>
      </c>
      <c r="E314" s="79" t="inlineStr">
        <is>
          <t>x</t>
        </is>
      </c>
      <c r="F314" s="57" t="n"/>
      <c r="G314" s="57" t="n"/>
      <c r="H314" s="57" t="n"/>
    </row>
    <row r="315" ht="15.75" customHeight="1" s="215">
      <c r="B315" s="70" t="n">
        <v>304</v>
      </c>
      <c r="C315" s="81" t="inlineStr">
        <is>
          <t>FR-24g – Dashboard tab correos.</t>
        </is>
      </c>
      <c r="E315" s="79" t="inlineStr">
        <is>
          <t>x</t>
        </is>
      </c>
      <c r="F315" s="57" t="n"/>
      <c r="G315" s="57" t="n"/>
      <c r="H315" s="57" t="n"/>
    </row>
    <row r="316" ht="15.75" customHeight="1" s="215">
      <c r="B316" s="70" t="n">
        <v>305</v>
      </c>
      <c r="C316" s="81" t="inlineStr">
        <is>
          <t>FR-24h – Dashboard tab configuración.</t>
        </is>
      </c>
      <c r="E316" s="79" t="inlineStr">
        <is>
          <t>x</t>
        </is>
      </c>
      <c r="F316" s="57" t="n"/>
      <c r="G316" s="57" t="n"/>
      <c r="H316" s="57" t="n"/>
    </row>
    <row r="317" ht="15.75" customHeight="1" s="215">
      <c r="B317" s="70" t="n">
        <v>306</v>
      </c>
      <c r="C317" s="81" t="inlineStr">
        <is>
          <t>FR-24i – AdminDashboard métricas y reservas recientes.</t>
        </is>
      </c>
      <c r="E317" s="79" t="inlineStr">
        <is>
          <t>x</t>
        </is>
      </c>
      <c r="F317" s="57" t="n"/>
      <c r="G317" s="57" t="n"/>
      <c r="H317" s="57" t="n"/>
    </row>
    <row r="318" ht="15.75" customHeight="1" s="215">
      <c r="B318" s="70" t="n">
        <v>307</v>
      </c>
      <c r="C318" s="81" t="inlineStr">
        <is>
          <t>FR-24j – ClientDashboard perfil y reservas del cliente.</t>
        </is>
      </c>
      <c r="E318" s="79" t="inlineStr">
        <is>
          <t>x</t>
        </is>
      </c>
      <c r="F318" s="57" t="n"/>
      <c r="G318" s="57" t="n"/>
      <c r="H318" s="57" t="n"/>
    </row>
    <row r="319" ht="15.75" customHeight="1" s="215">
      <c r="B319" s="70" t="n">
        <v>308</v>
      </c>
      <c r="C319" s="81" t="inlineStr">
        <is>
          <t>FR-24k – EmployeeDashboard reservas del día y acciones.</t>
        </is>
      </c>
      <c r="E319" s="79" t="inlineStr">
        <is>
          <t>x</t>
        </is>
      </c>
      <c r="F319" s="57" t="n"/>
      <c r="G319" s="57" t="n"/>
      <c r="H319" s="57" t="n"/>
    </row>
    <row r="320" ht="15.75" customHeight="1" s="215">
      <c r="B320" s="70" t="n">
        <v>309</v>
      </c>
      <c r="C320" s="81" t="inlineStr">
        <is>
          <t>UI-23a – analytics CardTitle "Total Reservas".</t>
        </is>
      </c>
      <c r="E320" s="79" t="inlineStr">
        <is>
          <t>x</t>
        </is>
      </c>
      <c r="F320" s="57" t="n"/>
      <c r="G320" s="57" t="n"/>
      <c r="H320" s="57" t="n"/>
    </row>
    <row r="321" ht="15.75" customHeight="1" s="215">
      <c r="B321" s="70" t="n">
        <v>310</v>
      </c>
      <c r="C321" s="81" t="inlineStr">
        <is>
          <t>UI-23b – Overview_2 "Reservas pendientes" y "Reservas de hoy confirmadas o pendientes".</t>
        </is>
      </c>
      <c r="E321" s="79" t="inlineStr">
        <is>
          <t>x</t>
        </is>
      </c>
      <c r="F321" s="57" t="n"/>
      <c r="G321" s="57" t="n"/>
      <c r="H321" s="57" t="n"/>
    </row>
    <row r="322" ht="15.75" customHeight="1" s="215">
      <c r="B322" s="70" t="n">
        <v>311</v>
      </c>
      <c r="C322" s="81" t="inlineStr">
        <is>
          <t>UI-23c – RestaurantMap componente con Leaflet o similar.</t>
        </is>
      </c>
      <c r="E322" s="79" t="inlineStr">
        <is>
          <t>x</t>
        </is>
      </c>
      <c r="F322" s="57" t="n"/>
      <c r="G322" s="57" t="n"/>
      <c r="H322" s="57" t="n"/>
    </row>
    <row r="323" ht="15.75" customHeight="1" s="215">
      <c r="B323" s="70" t="n">
        <v>312</v>
      </c>
      <c r="C323" s="81" t="inlineStr">
        <is>
          <t>UI-23d – ReviewForm campos calificación (1-5) y comentario.</t>
        </is>
      </c>
      <c r="E323" s="79" t="inlineStr">
        <is>
          <t>x</t>
        </is>
      </c>
      <c r="F323" s="57" t="n"/>
      <c r="G323" s="57" t="n"/>
      <c r="H323" s="57" t="n"/>
    </row>
    <row r="324" ht="15.75" customHeight="1" s="215">
      <c r="B324" s="70" t="n">
        <v>313</v>
      </c>
      <c r="C324" s="81" t="inlineStr">
        <is>
          <t>UI-23e – ReviewForm botón enviar reseña.</t>
        </is>
      </c>
      <c r="E324" s="79" t="inlineStr">
        <is>
          <t>x</t>
        </is>
      </c>
      <c r="F324" s="57" t="n"/>
      <c r="G324" s="57" t="n"/>
      <c r="H324" s="57" t="n"/>
    </row>
    <row r="325" ht="15.75" customHeight="1" s="215">
      <c r="B325" s="70" t="n">
        <v>314</v>
      </c>
      <c r="C325" s="81" t="inlineStr">
        <is>
          <t>UI-24a – transitionSpring en animaciones (stiffness, damping).</t>
        </is>
      </c>
      <c r="E325" s="79" t="inlineStr">
        <is>
          <t>x</t>
        </is>
      </c>
      <c r="F325" s="57" t="n"/>
      <c r="G325" s="57" t="n"/>
      <c r="H325" s="57" t="n"/>
    </row>
    <row r="326" ht="15.75" customHeight="1" s="215">
      <c r="B326" s="70" t="n">
        <v>315</v>
      </c>
      <c r="C326" s="81" t="inlineStr">
        <is>
          <t>UI-24b – @keyframes colorShift en index.css.</t>
        </is>
      </c>
      <c r="E326" s="79" t="inlineStr">
        <is>
          <t>x</t>
        </is>
      </c>
      <c r="F326" s="57" t="n"/>
      <c r="G326" s="57" t="n"/>
      <c r="H326" s="57" t="n"/>
    </row>
    <row r="327" ht="15.75" customHeight="1" s="215">
      <c r="B327" s="70" t="n">
        <v>316</v>
      </c>
      <c r="C327" s="81" t="inlineStr">
        <is>
          <t>UI-24c – Clase animate-color-shift.</t>
        </is>
      </c>
      <c r="E327" s="79" t="inlineStr">
        <is>
          <t>x</t>
        </is>
      </c>
      <c r="F327" s="57" t="n"/>
      <c r="G327" s="57" t="n"/>
      <c r="H327" s="57" t="n"/>
    </row>
    <row r="328" ht="15.75" customHeight="1" s="215">
      <c r="B328" s="70" t="n">
        <v>317</v>
      </c>
      <c r="C328" s="81" t="inlineStr">
        <is>
          <t>UI-24d – @keyframes star-twinkle en index.css.</t>
        </is>
      </c>
      <c r="E328" s="79" t="inlineStr">
        <is>
          <t>x</t>
        </is>
      </c>
      <c r="F328" s="57" t="n"/>
      <c r="G328" s="57" t="n"/>
      <c r="H328" s="57" t="n"/>
    </row>
    <row r="329" ht="15.75" customHeight="1" s="215">
      <c r="B329" s="70" t="n">
        <v>318</v>
      </c>
      <c r="C329" s="81" t="inlineStr">
        <is>
          <t>UI-24e – body con bg-background text-foreground.</t>
        </is>
      </c>
      <c r="E329" s="79" t="inlineStr">
        <is>
          <t>x</t>
        </is>
      </c>
      <c r="F329" s="57" t="n"/>
      <c r="G329" s="57" t="n"/>
      <c r="H329" s="57" t="n"/>
    </row>
    <row r="330" ht="15.75" customHeight="1" s="215">
      <c r="B330" s="70" t="n">
        <v>319</v>
      </c>
      <c r="C330" s="81" t="inlineStr">
        <is>
          <t>UI-24f – border-border y outline-ring/50 en base.</t>
        </is>
      </c>
      <c r="E330" s="79" t="inlineStr">
        <is>
          <t>x</t>
        </is>
      </c>
      <c r="F330" s="57" t="n"/>
      <c r="G330" s="57" t="n"/>
      <c r="H330" s="57" t="n"/>
    </row>
    <row r="331" ht="15.75" customHeight="1" s="215">
      <c r="B331" s="70" t="n">
        <v>320</v>
      </c>
      <c r="C331" s="81" t="inlineStr">
        <is>
          <t>FR-25a – getProtectedRoutes devuelve rutas con ProtectedRoute y requiredRole.</t>
        </is>
      </c>
      <c r="E331" s="79" t="inlineStr">
        <is>
          <t>x</t>
        </is>
      </c>
      <c r="F331" s="57" t="n"/>
      <c r="G331" s="57" t="n"/>
      <c r="H331" s="57" t="n"/>
    </row>
    <row r="332" ht="15.75" customHeight="1" s="215">
      <c r="B332" s="70" t="n">
        <v>321</v>
      </c>
      <c r="C332" s="81" t="inlineStr">
        <is>
          <t>FR-25b – ROUTES.VIEW_EMAIL con parámetro :uid.</t>
        </is>
      </c>
      <c r="E332" s="79" t="inlineStr">
        <is>
          <t>x</t>
        </is>
      </c>
      <c r="F332" s="57" t="n"/>
      <c r="G332" s="57" t="n"/>
      <c r="H332" s="57" t="n"/>
    </row>
    <row r="333" ht="15.75" customHeight="1" s="215">
      <c r="B333" s="70" t="n">
        <v>322</v>
      </c>
      <c r="C333" s="81" t="inlineStr">
        <is>
          <t>FR-25c – ROLE_REDIRECTS mapeo dueno, administrador, empleado, cliente.</t>
        </is>
      </c>
      <c r="E333" s="79" t="inlineStr">
        <is>
          <t>x</t>
        </is>
      </c>
      <c r="F333" s="57" t="n"/>
      <c r="G333" s="57" t="n"/>
      <c r="H333" s="57" t="n"/>
    </row>
    <row r="334" ht="15.75" customHeight="1" s="215">
      <c r="B334" s="70" t="n">
        <v>323</v>
      </c>
      <c r="C334" s="81" t="inlineStr">
        <is>
          <t>LG-11a – ProtectedRoute requiredRole dueño para OWNER_DASHBOARD.</t>
        </is>
      </c>
      <c r="E334" s="79" t="inlineStr">
        <is>
          <t>x</t>
        </is>
      </c>
      <c r="F334" s="57" t="n"/>
      <c r="G334" s="57" t="n"/>
      <c r="H334" s="57" t="n"/>
    </row>
    <row r="335" ht="15.75" customHeight="1" s="215">
      <c r="B335" s="70" t="n">
        <v>324</v>
      </c>
      <c r="C335" s="81" t="inlineStr">
        <is>
          <t>LG-11b – ProtectedRoute requiredRole array para VIEW_EMAIL (dueño, administrador, empleado).</t>
        </is>
      </c>
      <c r="E335" s="79" t="inlineStr">
        <is>
          <t>x</t>
        </is>
      </c>
      <c r="F335" s="57" t="n"/>
      <c r="G335" s="57" t="n"/>
      <c r="H335" s="57" t="n"/>
    </row>
    <row r="336" ht="15.75" customHeight="1" s="215">
      <c r="B336" s="70" t="n">
        <v>325</v>
      </c>
      <c r="C336" s="81" t="inlineStr">
        <is>
          <t>LG-11c – PageWrapper envuelve contenido de rutas protegidas.</t>
        </is>
      </c>
      <c r="E336" s="79" t="inlineStr">
        <is>
          <t>x</t>
        </is>
      </c>
      <c r="F336" s="57" t="n"/>
      <c r="G336" s="57" t="n"/>
      <c r="H336" s="57" t="n"/>
    </row>
    <row r="337" ht="15.75" customHeight="1" s="215">
      <c r="B337" s="70" t="n">
        <v>326</v>
      </c>
      <c r="C337" s="81" t="inlineStr">
        <is>
          <t>FR-26a – CuisineCarousel incluye Asiática, China, India, Francesa, Española.</t>
        </is>
      </c>
      <c r="E337" s="79" t="inlineStr">
        <is>
          <t>x</t>
        </is>
      </c>
      <c r="F337" s="57" t="n"/>
      <c r="G337" s="57" t="n"/>
      <c r="H337" s="57" t="n"/>
    </row>
    <row r="338" ht="15.75" customHeight="1" s="215">
      <c r="B338" s="70" t="n">
        <v>327</v>
      </c>
      <c r="C338" s="81" t="inlineStr">
        <is>
          <t>FR-26b – SearchBar chips o sugerencias con tipos de cocina.</t>
        </is>
      </c>
      <c r="E338" s="79" t="inlineStr">
        <is>
          <t>x</t>
        </is>
      </c>
      <c r="F338" s="57" t="n"/>
      <c r="G338" s="57" t="n"/>
      <c r="H338" s="57" t="n"/>
    </row>
    <row r="339" ht="15.75" customHeight="1" s="215">
      <c r="B339" s="70" t="n">
        <v>328</v>
      </c>
      <c r="C339" s="81" t="inlineStr">
        <is>
          <t>FR-26c – RestaurantGrid "Disponible hoy" o "Reservar mañana" según availableToday.</t>
        </is>
      </c>
      <c r="E339" s="79" t="inlineStr">
        <is>
          <t>x</t>
        </is>
      </c>
      <c r="F339" s="57" t="n"/>
      <c r="G339" s="57" t="n"/>
      <c r="H339" s="57" t="n"/>
    </row>
    <row r="340" ht="15.75" customHeight="1" s="215">
      <c r="B340" s="70" t="n">
        <v>329</v>
      </c>
      <c r="C340" s="81" t="inlineStr">
        <is>
          <t>UI-25a – HeroSection fondo estrellas (star-bg) con animación.</t>
        </is>
      </c>
      <c r="E340" s="79" t="inlineStr">
        <is>
          <t>x</t>
        </is>
      </c>
      <c r="F340" s="57" t="n"/>
      <c r="G340" s="57" t="n"/>
      <c r="H340" s="57" t="n"/>
    </row>
    <row r="341" ht="15.75" customHeight="1" s="215">
      <c r="B341" s="70" t="n">
        <v>330</v>
      </c>
      <c r="C341" s="81" t="inlineStr">
        <is>
          <t>UI-25b – HeroSection id="buscar" para accesibilidad.</t>
        </is>
      </c>
      <c r="E341" s="79" t="inlineStr">
        <is>
          <t>x</t>
        </is>
      </c>
      <c r="F341" s="57" t="n"/>
      <c r="G341" s="57" t="n"/>
      <c r="H341" s="57" t="n"/>
    </row>
    <row r="342" ht="15.75" customHeight="1" s="215">
      <c r="B342" s="70" t="n">
        <v>331</v>
      </c>
      <c r="C342" s="81" t="inlineStr">
        <is>
          <t>UI-25c – FeaturesSection tres tarjetas con iconos.</t>
        </is>
      </c>
      <c r="E342" s="79" t="inlineStr">
        <is>
          <t>x</t>
        </is>
      </c>
      <c r="F342" s="57" t="n"/>
      <c r="G342" s="57" t="n"/>
      <c r="H342" s="57" t="n"/>
    </row>
    <row r="343" ht="15.75" customHeight="1" s="215">
      <c r="B343" s="70" t="n">
        <v>332</v>
      </c>
      <c r="C343" s="81" t="inlineStr">
        <is>
          <t>UI-25d – CTASection botón descargar app.</t>
        </is>
      </c>
      <c r="E343" s="79" t="inlineStr">
        <is>
          <t>x</t>
        </is>
      </c>
      <c r="F343" s="57" t="n"/>
      <c r="G343" s="57" t="n"/>
      <c r="H343" s="57" t="n"/>
    </row>
    <row r="344" ht="15.75" customHeight="1" s="215">
      <c r="B344" s="70" t="n">
        <v>333</v>
      </c>
      <c r="C344" s="81" t="inlineStr">
        <is>
          <t>UI-25e – Footer enlaces Ayuda, Términos, Privacidad.</t>
        </is>
      </c>
      <c r="E344" s="79" t="inlineStr">
        <is>
          <t>x</t>
        </is>
      </c>
      <c r="F344" s="57" t="n"/>
      <c r="G344" s="57" t="inlineStr">
        <is>
          <t>x</t>
        </is>
      </c>
      <c r="H344" s="57" t="inlineStr">
        <is>
          <t>No se especifica el contenido que hay al ser redirigido.</t>
        </is>
      </c>
    </row>
    <row r="345" ht="15.75" customHeight="1" s="215">
      <c r="B345" s="70" t="n">
        <v>334</v>
      </c>
      <c r="C345" s="81" t="inlineStr">
        <is>
          <t>UI-25f – Login Card con backdrop-blur.</t>
        </is>
      </c>
      <c r="E345" s="79" t="inlineStr">
        <is>
          <t>x</t>
        </is>
      </c>
      <c r="F345" s="57" t="n"/>
      <c r="G345" s="57" t="n"/>
      <c r="H345" s="57" t="n"/>
    </row>
    <row r="346" ht="15.75" customHeight="1" s="215">
      <c r="B346" s="70" t="n">
        <v>335</v>
      </c>
      <c r="C346" s="81" t="inlineStr">
        <is>
          <t>UI-25g – RestaurantReservationsModal agrupa reservas por estado.</t>
        </is>
      </c>
      <c r="E346" s="79" t="inlineStr">
        <is>
          <t>x</t>
        </is>
      </c>
      <c r="F346" s="57" t="n"/>
      <c r="G346" s="57" t="n"/>
      <c r="H346" s="57" t="n"/>
    </row>
    <row r="347" ht="15.75" customHeight="1" s="215">
      <c r="B347" s="70" t="n">
        <v>336</v>
      </c>
      <c r="C347" s="81" t="inlineStr">
        <is>
          <t>UI-25h – AllReservationsModal filtro por fecha.</t>
        </is>
      </c>
      <c r="E347" s="79" t="inlineStr">
        <is>
          <t>x</t>
        </is>
      </c>
      <c r="F347" s="57" t="n"/>
      <c r="G347" s="57" t="n"/>
      <c r="H347" s="57" t="n"/>
    </row>
    <row r="348" ht="15.75" customHeight="1" s="215">
      <c r="B348" s="70" t="n">
        <v>337</v>
      </c>
      <c r="C348" s="81" t="inlineStr">
        <is>
          <t>UI-25i – Dashboard tabla con columnas Restaurante, Reservas, etc.</t>
        </is>
      </c>
      <c r="E348" s="79" t="inlineStr">
        <is>
          <t>x</t>
        </is>
      </c>
      <c r="F348" s="57" t="n"/>
      <c r="G348" s="57" t="n"/>
      <c r="H348" s="57" t="n"/>
    </row>
    <row r="349" ht="15.75" customHeight="1" s="215">
      <c r="B349" s="70" t="n">
        <v>338</v>
      </c>
      <c r="C349" s="81" t="inlineStr">
        <is>
          <t>UI-25j – AdminDashboard botón "Ver todas las reservas".</t>
        </is>
      </c>
      <c r="E349" s="79" t="inlineStr">
        <is>
          <t>x</t>
        </is>
      </c>
      <c r="F349" s="57" t="n"/>
      <c r="G349" s="57" t="inlineStr">
        <is>
          <t>x</t>
        </is>
      </c>
      <c r="H349" s="57" t="inlineStr">
        <is>
          <t xml:space="preserve">No se especifica el color al pasar el mouse. </t>
        </is>
      </c>
    </row>
    <row r="350" ht="15.75" customHeight="1" s="215">
      <c r="B350" s="70" t="n">
        <v>339</v>
      </c>
      <c r="C350" s="81" t="inlineStr">
        <is>
          <t>T-31 – Toast "Error" genérico en ProfileModal (perfil/reservas).</t>
        </is>
      </c>
      <c r="E350" s="79" t="inlineStr">
        <is>
          <t>x</t>
        </is>
      </c>
      <c r="F350" s="57" t="n"/>
      <c r="G350" s="57" t="n"/>
      <c r="H350" s="57" t="n"/>
    </row>
    <row r="351" ht="15.75" customHeight="1" s="215">
      <c r="B351" s="70" t="n">
        <v>340</v>
      </c>
      <c r="C351" s="81" t="inlineStr">
        <is>
          <t>T-32 – Toast "Perfil actualizado" en ProfileModal.</t>
        </is>
      </c>
      <c r="E351" s="79" t="inlineStr">
        <is>
          <t>x</t>
        </is>
      </c>
      <c r="F351" s="57" t="n"/>
      <c r="G351" s="57" t="n"/>
      <c r="H351" s="57" t="n"/>
    </row>
    <row r="352" ht="15.75" customHeight="1" s="215">
      <c r="B352" s="70" t="n">
        <v>341</v>
      </c>
      <c r="C352" s="81" t="inlineStr">
        <is>
          <t>T-33 – Toast "Mesa actualizada" / "Cambios guardados." en RestaurantConfigModal.</t>
        </is>
      </c>
      <c r="E352" s="79" t="inlineStr">
        <is>
          <t>x</t>
        </is>
      </c>
      <c r="F352" s="57" t="n"/>
      <c r="G352" s="57" t="n"/>
      <c r="H352" s="57" t="n"/>
    </row>
    <row r="353" ht="15.75" customHeight="1" s="215">
      <c r="B353" s="70" t="n">
        <v>342</v>
      </c>
      <c r="C353" s="81" t="inlineStr">
        <is>
          <t>T-34 – Toast "Mesa eliminada" en RestaurantConfigModal.</t>
        </is>
      </c>
      <c r="E353" s="79" t="inlineStr">
        <is>
          <t>x</t>
        </is>
      </c>
      <c r="F353" s="57" t="n"/>
      <c r="G353" s="57" t="n"/>
      <c r="H353" s="57" t="n"/>
    </row>
    <row r="354" ht="15.75" customHeight="1" s="215">
      <c r="B354" s="70" t="n">
        <v>343</v>
      </c>
      <c r="C354" s="81" t="inlineStr">
        <is>
          <t>T-35 – Toast "Correo requerido" en RestaurantConfigModal.</t>
        </is>
      </c>
      <c r="E354" s="79" t="inlineStr">
        <is>
          <t>x</t>
        </is>
      </c>
      <c r="F354" s="57" t="n"/>
      <c r="G354" s="57" t="n"/>
      <c r="H354" s="57" t="n"/>
    </row>
    <row r="355" ht="15.75" customHeight="1" s="215">
      <c r="B355" s="70" t="n">
        <v>344</v>
      </c>
      <c r="C355" s="81" t="inlineStr">
        <is>
          <t>T-36 – Toast "Motivo demasiado largo" en ProfileModal.</t>
        </is>
      </c>
      <c r="E355" s="79" t="inlineStr">
        <is>
          <t>x</t>
        </is>
      </c>
      <c r="F355" s="57" t="n"/>
      <c r="G355" s="57" t="n"/>
      <c r="H355" s="57" t="n"/>
    </row>
    <row r="356" ht="15.75" customHeight="1" s="215">
      <c r="B356" s="70" t="n">
        <v>345</v>
      </c>
      <c r="C356" s="81" t="inlineStr">
        <is>
          <t>T-37 – Toast "Error en la confirmación" en checkout.</t>
        </is>
      </c>
      <c r="E356" s="79" t="inlineStr">
        <is>
          <t>x</t>
        </is>
      </c>
      <c r="F356" s="57" t="n"/>
      <c r="G356" s="57" t="n"/>
      <c r="H356" s="57" t="n"/>
    </row>
    <row r="357" ht="15.75" customHeight="1" s="215">
      <c r="B357" s="70" t="n">
        <v>346</v>
      </c>
      <c r="C357" s="81" t="inlineStr">
        <is>
          <t>T-38 – Toast "Error de verificación" en ProtectedRoute.</t>
        </is>
      </c>
      <c r="E357" s="79" t="inlineStr">
        <is>
          <t>x</t>
        </is>
      </c>
      <c r="F357" s="57" t="n"/>
      <c r="G357" s="57" t="n"/>
      <c r="H357" s="57" t="n"/>
    </row>
    <row r="358" ht="15.75" customHeight="1" s="215">
      <c r="B358" s="70" t="n">
        <v>347</v>
      </c>
      <c r="C358" s="81" t="inlineStr">
        <is>
          <t>FR-27a – Componente PageWrapper con animación de transición.</t>
        </is>
      </c>
      <c r="E358" s="79" t="inlineStr">
        <is>
          <t>x</t>
        </is>
      </c>
      <c r="F358" s="57" t="n"/>
      <c r="G358" s="57" t="n"/>
      <c r="H358" s="57" t="n"/>
    </row>
    <row r="359" ht="15.75" customHeight="1" s="215">
      <c r="B359" s="70" t="n">
        <v>348</v>
      </c>
      <c r="C359" s="81" t="inlineStr">
        <is>
          <t>FR-27b – useToast hook disponible globalmente.</t>
        </is>
      </c>
      <c r="E359" s="79" t="inlineStr">
        <is>
          <t>x</t>
        </is>
      </c>
      <c r="F359" s="57" t="n"/>
      <c r="G359" s="57" t="n"/>
      <c r="H359" s="57" t="n"/>
    </row>
    <row r="360" ht="15.75" customHeight="1" s="215">
      <c r="B360" s="70" t="n">
        <v>349</v>
      </c>
      <c r="C360" s="81" t="inlineStr">
        <is>
          <t>FR-27c – sessionStorage pendingReservation con datos de reserva para pasarela.</t>
        </is>
      </c>
      <c r="E360" s="79" t="inlineStr">
        <is>
          <t>x</t>
        </is>
      </c>
      <c r="F360" s="57" t="n"/>
      <c r="G360" s="57" t="n"/>
      <c r="H360" s="57" t="n"/>
    </row>
    <row r="361" ht="15.75" customHeight="1" s="215">
      <c r="B361" s="70" t="n">
        <v>350</v>
      </c>
      <c r="C361" s="81" t="inlineStr">
        <is>
          <t>FR-28a – Header enlace "Restaurantes" con href #restaurantes.</t>
        </is>
      </c>
      <c r="E361" s="79" t="inlineStr">
        <is>
          <t>x</t>
        </is>
      </c>
      <c r="F361" s="57" t="n"/>
      <c r="G361" s="57" t="n"/>
      <c r="H361" s="57" t="n"/>
    </row>
    <row r="362" ht="15.75" customHeight="1" s="215">
      <c r="B362" s="70" t="n">
        <v>351</v>
      </c>
      <c r="C362" s="81" t="inlineStr">
        <is>
          <t>FR-28b – Header componente ModeToggle para cambio de tema (claro/oscuro/sistema).</t>
        </is>
      </c>
      <c r="E362" s="79" t="inlineStr">
        <is>
          <t>x</t>
        </is>
      </c>
      <c r="F362" s="57" t="n"/>
      <c r="G362" s="57" t="n"/>
      <c r="H362" s="57" t="n"/>
    </row>
    <row r="363" ht="15.75" customHeight="1" s="215">
      <c r="B363" s="70" t="n">
        <v>352</v>
      </c>
      <c r="C363" s="81" t="inlineStr">
        <is>
          <t>FR-28c – Header texto accesible "Abrir menú de perfil" (sr-only).</t>
        </is>
      </c>
      <c r="E363" s="79" t="inlineStr">
        <is>
          <t>x</t>
        </is>
      </c>
      <c r="F363" s="57" t="n"/>
      <c r="G363" s="57" t="n"/>
      <c r="H363" s="57" t="n"/>
    </row>
    <row r="364" ht="15.75" customHeight="1" s="215">
      <c r="B364" s="70" t="n">
        <v>353</v>
      </c>
      <c r="C364" s="81" t="inlineStr">
        <is>
          <t>FR-28d – Header logo con fetchPriority="low" y dark:invert.</t>
        </is>
      </c>
      <c r="E364" s="79" t="inlineStr">
        <is>
          <t>x</t>
        </is>
      </c>
      <c r="F364" s="57" t="n"/>
      <c r="G364" s="57" t="n"/>
      <c r="H364" s="57" t="n"/>
    </row>
    <row r="365" ht="15.75" customHeight="1" s="215">
      <c r="B365" s="70" t="n">
        <v>354</v>
      </c>
      <c r="C365" s="81" t="inlineStr">
        <is>
          <t>FR-28e – Header barra con bg-background/95 y backdrop-blur-xl.</t>
        </is>
      </c>
      <c r="E365" s="79" t="inlineStr">
        <is>
          <t>x</t>
        </is>
      </c>
      <c r="F365" s="57" t="n"/>
      <c r="G365" s="57" t="n"/>
      <c r="H365" s="57" t="n"/>
    </row>
    <row r="366" ht="15.75" customHeight="1" s="215">
      <c r="B366" s="70" t="n">
        <v>355</v>
      </c>
      <c r="C366" s="81" t="inlineStr">
        <is>
          <t>FR-28f – Header animación fadeInDown en la barra.</t>
        </is>
      </c>
      <c r="E366" s="79" t="inlineStr">
        <is>
          <t>x</t>
        </is>
      </c>
      <c r="F366" s="57" t="n"/>
      <c r="G366" s="57" t="n"/>
      <c r="H366" s="57" t="n"/>
    </row>
    <row r="367" ht="15.75" customHeight="1" s="215">
      <c r="B367" s="70" t="n">
        <v>356</v>
      </c>
      <c r="C367" s="81" t="inlineStr">
        <is>
          <t>UI-26a – Header botón Cerrar sesión con variante destructive en dropdown.</t>
        </is>
      </c>
      <c r="E367" s="79" t="inlineStr">
        <is>
          <t>x</t>
        </is>
      </c>
      <c r="F367" s="57" t="n"/>
      <c r="G367" s="57" t="n"/>
      <c r="H367" s="57" t="n"/>
    </row>
    <row r="368" ht="15.75" customHeight="1" s="215">
      <c r="B368" s="70" t="n">
        <v>357</v>
      </c>
      <c r="C368" s="81" t="inlineStr">
        <is>
          <t>UI-26b – Header enlace Login con hover:scale-105 y hover:bg-primary.</t>
        </is>
      </c>
      <c r="E368" s="79" t="inlineStr">
        <is>
          <t>x</t>
        </is>
      </c>
      <c r="F368" s="57" t="n"/>
      <c r="G368" s="57" t="n"/>
      <c r="H368" s="57" t="n"/>
    </row>
    <row r="369" ht="15.75" customHeight="1" s="215">
      <c r="B369" s="70" t="n">
        <v>358</v>
      </c>
      <c r="C369" s="81" t="inlineStr">
        <is>
          <t>UI-26c – Header enlace Registrar con bg-secondary y hover:bg-primary.</t>
        </is>
      </c>
      <c r="E369" s="30" t="inlineStr">
        <is>
          <t>x</t>
        </is>
      </c>
      <c r="F369" s="57" t="n"/>
      <c r="G369" s="57" t="n"/>
      <c r="H369" s="57" t="n"/>
    </row>
    <row r="370" ht="18.75" customHeight="1" s="215"/>
    <row r="371" ht="18.75" customHeight="1" s="215"/>
    <row r="372" ht="18.75" customHeight="1" s="215"/>
    <row r="373" ht="18.75" customHeight="1" s="215"/>
    <row r="374" ht="37.5" customHeight="1" s="215"/>
    <row r="375" ht="37.5" customHeight="1" s="215"/>
    <row r="376" ht="18.75" customHeight="1" s="215"/>
    <row r="377" ht="37.5" customHeight="1" s="215"/>
    <row r="378" ht="18.75" customHeight="1" s="215"/>
    <row r="379" ht="18.75" customHeight="1" s="215"/>
    <row r="380" ht="18.75" customHeight="1" s="215"/>
    <row r="381" ht="18.75" customHeight="1" s="215"/>
    <row r="382" ht="18.75" customHeight="1" s="215"/>
    <row r="383" ht="18.75" customHeight="1" s="215"/>
    <row r="384" ht="18.75" customHeight="1" s="215"/>
    <row r="385" ht="18.75" customHeight="1" s="215"/>
    <row r="386" ht="37.5" customHeight="1" s="215"/>
    <row r="387" ht="37.5" customHeight="1" s="215"/>
    <row r="388" ht="37.5" customHeight="1" s="215"/>
    <row r="389" ht="37.5" customHeight="1" s="215"/>
    <row r="390" ht="37.5" customHeight="1" s="215"/>
    <row r="391" ht="18.75" customHeight="1" s="215"/>
    <row r="392" ht="37.5" customHeight="1" s="215"/>
    <row r="393" ht="37.5" customHeight="1" s="215"/>
    <row r="394" ht="18.75" customHeight="1" s="215"/>
    <row r="395" ht="18.75" customHeight="1" s="215"/>
    <row r="396" ht="37.5" customHeight="1" s="215"/>
    <row r="397" ht="18.75" customHeight="1" s="215"/>
    <row r="398" ht="37.5" customHeight="1" s="215"/>
    <row r="399" ht="18.75" customHeight="1" s="215"/>
    <row r="400" ht="18.75" customHeight="1" s="215"/>
    <row r="401" ht="18.75" customHeight="1" s="215"/>
    <row r="402" ht="18.75" customHeight="1" s="215"/>
    <row r="403" ht="18.75" customHeight="1" s="215"/>
    <row r="404" ht="18.75" customHeight="1" s="215"/>
    <row r="405" ht="18.75" customHeight="1" s="215"/>
    <row r="406" ht="18.75" customHeight="1" s="215"/>
    <row r="407" ht="37.5" customHeight="1" s="215"/>
    <row r="408" ht="18.75" customHeight="1" s="215"/>
    <row r="409" ht="18.75" customHeight="1" s="215"/>
    <row r="410" ht="37.5" customHeight="1" s="215"/>
    <row r="411" ht="18.75" customHeight="1" s="215"/>
    <row r="412" ht="37.5" customHeight="1" s="215"/>
    <row r="413" ht="18.75" customHeight="1" s="215"/>
    <row r="414" ht="18.75" customHeight="1" s="215"/>
    <row r="415" ht="37.5" customHeight="1" s="215"/>
    <row r="416" ht="37.5" customHeight="1" s="215"/>
    <row r="417" ht="37.5" customHeight="1" s="215"/>
    <row r="418" ht="18.75" customHeight="1" s="215"/>
    <row r="419" ht="37.5" customHeight="1" s="215"/>
    <row r="420" ht="18.75" customHeight="1" s="215"/>
    <row r="421" ht="18.75" customHeight="1" s="215"/>
    <row r="422" ht="18.75" customHeight="1" s="215"/>
    <row r="423" ht="37.5" customHeight="1" s="215"/>
    <row r="424" ht="37.5" customHeight="1" s="215"/>
    <row r="425" ht="18.75" customHeight="1" s="215"/>
    <row r="426" ht="18.75" customHeight="1" s="215"/>
    <row r="427" ht="37.5" customHeight="1" s="215"/>
    <row r="428" ht="15.75" customHeight="1" s="215"/>
    <row r="429" ht="15.75" customHeight="1" s="215"/>
    <row r="430" ht="15.75" customHeight="1" s="215"/>
    <row r="431" ht="15.75" customHeight="1" s="215"/>
    <row r="432" ht="15.75" customHeight="1" s="215"/>
    <row r="433" ht="15.75" customHeight="1" s="215"/>
    <row r="434" ht="15.75" customHeight="1" s="215"/>
    <row r="435" ht="15.75" customHeight="1" s="215"/>
    <row r="436" ht="15.75" customHeight="1" s="215"/>
    <row r="437" ht="15.75" customHeight="1" s="215"/>
    <row r="438" ht="15.75" customHeight="1" s="215"/>
    <row r="439" ht="15.75" customHeight="1" s="215"/>
    <row r="440" ht="15.75" customHeight="1" s="215"/>
    <row r="441" ht="15.75" customHeight="1" s="215"/>
    <row r="442" ht="15.75" customHeight="1" s="215"/>
    <row r="443" ht="15.75" customHeight="1" s="215"/>
    <row r="444" ht="15.75" customHeight="1" s="215"/>
    <row r="445" ht="15.75" customHeight="1" s="215"/>
    <row r="446" ht="15.75" customHeight="1" s="215"/>
    <row r="447" ht="15.75" customHeight="1" s="215"/>
    <row r="448" ht="15.75" customHeight="1" s="215"/>
    <row r="449" ht="15.75" customHeight="1" s="215"/>
    <row r="450" ht="15.75" customHeight="1" s="215"/>
    <row r="451" ht="15.75" customHeight="1" s="215"/>
    <row r="452" ht="15.75" customHeight="1" s="215"/>
    <row r="453" ht="15.75" customHeight="1" s="215"/>
    <row r="454" ht="15.75" customHeight="1" s="215"/>
    <row r="455" ht="15.75" customHeight="1" s="215"/>
    <row r="456" ht="15.75" customHeight="1" s="215"/>
    <row r="457" ht="15.75" customHeight="1" s="215"/>
    <row r="458" ht="15.75" customHeight="1" s="215"/>
    <row r="459" ht="15.75" customHeight="1" s="215"/>
    <row r="460" ht="15.75" customHeight="1" s="215"/>
    <row r="461" ht="15.75" customHeight="1" s="215"/>
    <row r="462" ht="15.75" customHeight="1" s="215"/>
    <row r="463" ht="15.75" customHeight="1" s="215"/>
    <row r="464" ht="15.75" customHeight="1" s="215"/>
    <row r="465" ht="15.75" customHeight="1" s="215"/>
    <row r="466" ht="15.75" customHeight="1" s="215"/>
    <row r="467" ht="15.75" customHeight="1" s="215"/>
    <row r="468" ht="15.75" customHeight="1" s="215"/>
    <row r="469" ht="15.75" customHeight="1" s="215"/>
    <row r="470" ht="15.75" customHeight="1" s="215"/>
    <row r="471" ht="15.75" customHeight="1" s="215"/>
    <row r="472" ht="15.75" customHeight="1" s="215"/>
    <row r="473" ht="15.75" customHeight="1" s="215"/>
    <row r="474" ht="15.75" customHeight="1" s="215"/>
    <row r="475" ht="15.75" customHeight="1" s="215"/>
    <row r="476" ht="15.75" customHeight="1" s="215"/>
    <row r="477" ht="15.75" customHeight="1" s="215"/>
    <row r="478" ht="15.75" customHeight="1" s="215"/>
    <row r="479" ht="15.75" customHeight="1" s="215"/>
    <row r="480" ht="15.75" customHeight="1" s="215"/>
    <row r="481" ht="15.75" customHeight="1" s="215"/>
    <row r="482" ht="15.75" customHeight="1" s="215"/>
    <row r="483" ht="15.75" customHeight="1" s="215"/>
    <row r="484" ht="15.75" customHeight="1" s="215"/>
    <row r="485" ht="15.75" customHeight="1" s="215"/>
    <row r="486" ht="15.75" customHeight="1" s="215"/>
    <row r="487" ht="15.75" customHeight="1" s="215"/>
    <row r="488" ht="15.75" customHeight="1" s="215"/>
    <row r="489" ht="15.75" customHeight="1" s="215"/>
    <row r="490" ht="15.75" customHeight="1" s="215"/>
    <row r="491" ht="15.75" customHeight="1" s="215"/>
    <row r="492" ht="15.75" customHeight="1" s="215"/>
    <row r="493" ht="15.75" customHeight="1" s="215"/>
    <row r="494" ht="15.75" customHeight="1" s="215"/>
    <row r="495" ht="15.75" customHeight="1" s="215"/>
    <row r="496" ht="15.75" customHeight="1" s="215"/>
    <row r="497" ht="15.75" customHeight="1" s="215"/>
    <row r="498" ht="15.75" customHeight="1" s="215"/>
    <row r="499" ht="15.75" customHeight="1" s="215"/>
    <row r="500" ht="15.75" customHeight="1" s="215"/>
    <row r="501" ht="15.75" customHeight="1" s="215"/>
    <row r="502" ht="15.75" customHeight="1" s="215"/>
    <row r="503" ht="15.75" customHeight="1" s="215"/>
    <row r="504" ht="15.75" customHeight="1" s="215"/>
    <row r="505" ht="15.75" customHeight="1" s="215"/>
    <row r="506" ht="15.75" customHeight="1" s="215"/>
    <row r="507" ht="15.75" customHeight="1" s="215"/>
    <row r="508" ht="15.75" customHeight="1" s="215"/>
    <row r="509" ht="15.75" customHeight="1" s="215"/>
    <row r="510" ht="15.75" customHeight="1" s="215"/>
    <row r="511" ht="15.75" customHeight="1" s="215"/>
    <row r="512" ht="15.75" customHeight="1" s="215"/>
    <row r="513" ht="15.75" customHeight="1" s="215"/>
    <row r="514" ht="15.75" customHeight="1" s="215"/>
    <row r="515" ht="15.75" customHeight="1" s="215"/>
    <row r="516" ht="15.75" customHeight="1" s="215"/>
    <row r="517" ht="15.75" customHeight="1" s="215"/>
    <row r="518" ht="15.75" customHeight="1" s="215"/>
    <row r="519" ht="15.75" customHeight="1" s="215"/>
    <row r="520" ht="15.75" customHeight="1" s="215"/>
    <row r="521" ht="15.75" customHeight="1" s="215"/>
    <row r="522" ht="15.75" customHeight="1" s="215"/>
    <row r="523" ht="15.75" customHeight="1" s="215"/>
    <row r="524" ht="15.75" customHeight="1" s="215"/>
    <row r="525" ht="15.75" customHeight="1" s="215"/>
    <row r="526" ht="15.75" customHeight="1" s="215"/>
    <row r="527" ht="15.75" customHeight="1" s="215"/>
    <row r="528" ht="15.75" customHeight="1" s="215"/>
    <row r="529" ht="15.75" customHeight="1" s="215"/>
    <row r="530" ht="15.75" customHeight="1" s="215"/>
    <row r="531" ht="15.75" customHeight="1" s="215"/>
    <row r="532" ht="15.75" customHeight="1" s="215"/>
    <row r="533" ht="15.75" customHeight="1" s="215"/>
    <row r="534" ht="15.75" customHeight="1" s="215"/>
    <row r="535" ht="15.75" customHeight="1" s="215"/>
    <row r="536" ht="15.75" customHeight="1" s="215"/>
    <row r="537" ht="15.75" customHeight="1" s="215"/>
    <row r="538" ht="15.75" customHeight="1" s="215"/>
    <row r="539" ht="15.75" customHeight="1" s="215"/>
    <row r="540" ht="15.75" customHeight="1" s="215"/>
    <row r="541" ht="15.75" customHeight="1" s="215"/>
    <row r="542" ht="15.75" customHeight="1" s="215"/>
    <row r="543" ht="15.75" customHeight="1" s="215"/>
    <row r="544" ht="15.75" customHeight="1" s="215"/>
    <row r="545" ht="15.75" customHeight="1" s="215"/>
    <row r="546" ht="15.75" customHeight="1" s="215"/>
    <row r="547" ht="15.75" customHeight="1" s="215"/>
    <row r="548" ht="15.75" customHeight="1" s="215"/>
    <row r="549" ht="15.75" customHeight="1" s="215"/>
    <row r="550" ht="15.75" customHeight="1" s="215"/>
    <row r="551" ht="15.75" customHeight="1" s="215"/>
    <row r="552" ht="15.75" customHeight="1" s="215"/>
    <row r="553" ht="15.75" customHeight="1" s="215"/>
    <row r="554" ht="15.75" customHeight="1" s="215"/>
    <row r="555" ht="15.75" customHeight="1" s="215"/>
    <row r="556" ht="15.75" customHeight="1" s="215"/>
    <row r="557" ht="15.75" customHeight="1" s="215"/>
    <row r="558" ht="15.75" customHeight="1" s="215"/>
    <row r="559" ht="15.75" customHeight="1" s="215"/>
    <row r="560" ht="15.75" customHeight="1" s="215"/>
    <row r="561" ht="15.75" customHeight="1" s="215"/>
    <row r="562" ht="15.75" customHeight="1" s="215"/>
    <row r="563" ht="15.75" customHeight="1" s="215"/>
    <row r="564" ht="15.75" customHeight="1" s="215"/>
    <row r="565" ht="15.75" customHeight="1" s="215"/>
    <row r="566" ht="15.75" customHeight="1" s="215"/>
    <row r="567" ht="15.75" customHeight="1" s="215"/>
    <row r="568" ht="15.75" customHeight="1" s="215"/>
    <row r="569" ht="15.75" customHeight="1" s="215"/>
    <row r="570" ht="15.75" customHeight="1" s="215"/>
    <row r="571" ht="15.75" customHeight="1" s="215"/>
    <row r="572" ht="15.75" customHeight="1" s="215"/>
    <row r="573" ht="15.75" customHeight="1" s="215"/>
    <row r="574" ht="15.75" customHeight="1" s="215"/>
    <row r="575" ht="15.75" customHeight="1" s="215"/>
    <row r="576" ht="15.75" customHeight="1" s="215"/>
    <row r="577" ht="15.75" customHeight="1" s="215"/>
    <row r="578" ht="15.75" customHeight="1" s="215"/>
    <row r="579" ht="15.75" customHeight="1" s="215"/>
    <row r="580" ht="15.75" customHeight="1" s="215"/>
    <row r="581" ht="15.75" customHeight="1" s="215"/>
    <row r="582" ht="15.75" customHeight="1" s="215"/>
    <row r="583" ht="15.75" customHeight="1" s="215"/>
    <row r="584" ht="15.75" customHeight="1" s="215"/>
    <row r="585" ht="15.75" customHeight="1" s="215"/>
    <row r="586" ht="15.75" customHeight="1" s="215"/>
    <row r="587" ht="15.75" customHeight="1" s="215"/>
    <row r="588" ht="15.75" customHeight="1" s="215"/>
    <row r="589" ht="15.75" customHeight="1" s="215"/>
    <row r="590" ht="15.75" customHeight="1" s="215"/>
    <row r="591" ht="15.75" customHeight="1" s="215"/>
    <row r="592" ht="15.75" customHeight="1" s="215"/>
    <row r="593" ht="15.75" customHeight="1" s="215"/>
    <row r="594" ht="15.75" customHeight="1" s="215"/>
    <row r="595" ht="15.75" customHeight="1" s="215"/>
    <row r="596" ht="15.75" customHeight="1" s="215"/>
    <row r="597" ht="15.75" customHeight="1" s="215"/>
    <row r="598" ht="15.75" customHeight="1" s="215"/>
    <row r="599" ht="15.75" customHeight="1" s="215"/>
    <row r="600" ht="15.75" customHeight="1" s="215"/>
    <row r="601" ht="15.75" customHeight="1" s="215"/>
    <row r="602" ht="15.75" customHeight="1" s="215"/>
    <row r="603" ht="15.75" customHeight="1" s="215"/>
    <row r="604" ht="15.75" customHeight="1" s="215"/>
    <row r="605" ht="15.75" customHeight="1" s="215"/>
    <row r="606" ht="15.75" customHeight="1" s="215"/>
    <row r="607" ht="15.75" customHeight="1" s="215"/>
    <row r="608" ht="15.75" customHeight="1" s="215"/>
    <row r="609" ht="15.75" customHeight="1" s="215"/>
    <row r="610" ht="15.75" customHeight="1" s="215"/>
    <row r="611" ht="15.75" customHeight="1" s="215"/>
    <row r="612" ht="15.75" customHeight="1" s="215"/>
    <row r="613" ht="15.75" customHeight="1" s="215"/>
    <row r="614" ht="15.75" customHeight="1" s="215"/>
    <row r="615" ht="15.75" customHeight="1" s="215"/>
    <row r="616" ht="15.75" customHeight="1" s="215"/>
    <row r="617" ht="15.75" customHeight="1" s="215"/>
    <row r="618" ht="15.75" customHeight="1" s="215"/>
    <row r="619" ht="15.75" customHeight="1" s="215"/>
    <row r="620" ht="15.75" customHeight="1" s="215"/>
    <row r="621" ht="15.75" customHeight="1" s="215"/>
    <row r="622" ht="15.75" customHeight="1" s="215"/>
    <row r="623" ht="15.75" customHeight="1" s="215"/>
    <row r="624" ht="15.75" customHeight="1" s="215"/>
    <row r="625" ht="15.75" customHeight="1" s="215"/>
    <row r="626" ht="15.75" customHeight="1" s="215"/>
    <row r="627" ht="15.75" customHeight="1" s="215"/>
    <row r="628" ht="15.75" customHeight="1" s="215"/>
    <row r="629" ht="15.75" customHeight="1" s="215"/>
    <row r="630" ht="15.75" customHeight="1" s="215"/>
    <row r="631" ht="15.75" customHeight="1" s="215"/>
    <row r="632" ht="15.75" customHeight="1" s="215"/>
    <row r="633" ht="15.75" customHeight="1" s="215"/>
    <row r="634" ht="15.75" customHeight="1" s="215"/>
    <row r="635" ht="15.75" customHeight="1" s="215"/>
    <row r="636" ht="15.75" customHeight="1" s="215"/>
    <row r="637" ht="15.75" customHeight="1" s="215"/>
    <row r="638" ht="15.75" customHeight="1" s="215"/>
    <row r="639" ht="15.75" customHeight="1" s="215"/>
    <row r="640" ht="15.75" customHeight="1" s="215"/>
    <row r="641" ht="15.75" customHeight="1" s="215"/>
    <row r="642" ht="15.75" customHeight="1" s="215"/>
    <row r="643" ht="15.75" customHeight="1" s="215"/>
    <row r="644" ht="15.75" customHeight="1" s="215"/>
    <row r="645" ht="15.75" customHeight="1" s="215"/>
    <row r="646" ht="15.75" customHeight="1" s="215"/>
    <row r="647" ht="15.75" customHeight="1" s="215"/>
    <row r="648" ht="15.75" customHeight="1" s="215"/>
    <row r="649" ht="15.75" customHeight="1" s="215"/>
    <row r="650" ht="15.75" customHeight="1" s="215"/>
    <row r="651" ht="15.75" customHeight="1" s="215"/>
    <row r="652" ht="15.75" customHeight="1" s="215"/>
    <row r="653" ht="15.75" customHeight="1" s="215"/>
    <row r="654" ht="15.75" customHeight="1" s="215"/>
    <row r="655" ht="15.75" customHeight="1" s="215"/>
    <row r="656" ht="15.75" customHeight="1" s="215"/>
    <row r="657" ht="15.75" customHeight="1" s="215"/>
    <row r="658" ht="15.75" customHeight="1" s="215"/>
    <row r="659" ht="15.75" customHeight="1" s="215"/>
    <row r="660" ht="15.75" customHeight="1" s="215"/>
    <row r="661" ht="15.75" customHeight="1" s="215"/>
    <row r="662" ht="15.75" customHeight="1" s="215"/>
    <row r="663" ht="15.75" customHeight="1" s="215"/>
    <row r="664" ht="15.75" customHeight="1" s="215"/>
    <row r="665" ht="15.75" customHeight="1" s="215"/>
    <row r="666" ht="15.75" customHeight="1" s="215"/>
    <row r="667" ht="15.75" customHeight="1" s="215"/>
    <row r="668" ht="15.75" customHeight="1" s="215"/>
    <row r="669" ht="15.75" customHeight="1" s="215"/>
    <row r="670" ht="15.75" customHeight="1" s="215"/>
    <row r="671" ht="15.75" customHeight="1" s="215"/>
    <row r="672" ht="15.75" customHeight="1" s="215"/>
    <row r="673" ht="15.75" customHeight="1" s="215"/>
    <row r="674" ht="15.75" customHeight="1" s="215"/>
    <row r="675" ht="15.75" customHeight="1" s="215"/>
    <row r="676" ht="15.75" customHeight="1" s="215"/>
    <row r="677" ht="15.75" customHeight="1" s="215"/>
    <row r="678" ht="15.75" customHeight="1" s="215"/>
    <row r="679" ht="15.75" customHeight="1" s="215"/>
    <row r="680" ht="15.75" customHeight="1" s="215"/>
    <row r="681" ht="15.75" customHeight="1" s="215"/>
    <row r="682" ht="15.75" customHeight="1" s="215"/>
    <row r="683" ht="15.75" customHeight="1" s="215"/>
    <row r="684" ht="15.75" customHeight="1" s="215"/>
    <row r="685" ht="15.75" customHeight="1" s="215"/>
    <row r="686" ht="15.75" customHeight="1" s="215"/>
    <row r="687" ht="15.75" customHeight="1" s="215"/>
    <row r="688" ht="15.75" customHeight="1" s="215"/>
    <row r="689" ht="15.75" customHeight="1" s="215"/>
    <row r="690" ht="15.75" customHeight="1" s="215"/>
    <row r="691" ht="15.75" customHeight="1" s="215"/>
    <row r="692" ht="15.75" customHeight="1" s="215"/>
    <row r="693" ht="15.75" customHeight="1" s="215"/>
    <row r="694" ht="15.75" customHeight="1" s="215"/>
    <row r="695" ht="15.75" customHeight="1" s="215"/>
    <row r="696" ht="15.75" customHeight="1" s="215"/>
    <row r="697" ht="15.75" customHeight="1" s="215"/>
    <row r="698" ht="15.75" customHeight="1" s="215"/>
    <row r="699" ht="15.75" customHeight="1" s="215"/>
    <row r="700" ht="15.75" customHeight="1" s="215"/>
    <row r="701" ht="15.75" customHeight="1" s="215"/>
    <row r="702" ht="15.75" customHeight="1" s="215"/>
    <row r="703" ht="15.75" customHeight="1" s="215"/>
    <row r="704" ht="15.75" customHeight="1" s="215"/>
    <row r="705" ht="15.75" customHeight="1" s="215"/>
    <row r="706" ht="15.75" customHeight="1" s="215"/>
    <row r="707" ht="15.75" customHeight="1" s="215"/>
    <row r="708" ht="15.75" customHeight="1" s="215"/>
    <row r="709" ht="15.75" customHeight="1" s="215"/>
    <row r="710" ht="15.75" customHeight="1" s="215"/>
    <row r="711" ht="15.75" customHeight="1" s="215"/>
    <row r="712" ht="15.75" customHeight="1" s="215"/>
    <row r="713" ht="15.75" customHeight="1" s="215"/>
    <row r="714" ht="15.75" customHeight="1" s="215"/>
    <row r="715" ht="15.75" customHeight="1" s="215"/>
    <row r="716" ht="15.75" customHeight="1" s="215"/>
    <row r="717" ht="15.75" customHeight="1" s="215"/>
    <row r="718" ht="15.75" customHeight="1" s="215"/>
    <row r="719" ht="15.75" customHeight="1" s="215"/>
    <row r="720" ht="15.75" customHeight="1" s="215"/>
    <row r="721" ht="15.75" customHeight="1" s="215"/>
    <row r="722" ht="15.75" customHeight="1" s="215"/>
    <row r="723" ht="15.75" customHeight="1" s="215"/>
    <row r="724" ht="15.75" customHeight="1" s="215"/>
    <row r="725" ht="15.75" customHeight="1" s="215"/>
    <row r="726" ht="15.75" customHeight="1" s="215"/>
    <row r="727" ht="15.75" customHeight="1" s="215"/>
    <row r="728" ht="15.75" customHeight="1" s="215"/>
    <row r="729" ht="15.75" customHeight="1" s="215"/>
    <row r="730" ht="15.75" customHeight="1" s="215"/>
    <row r="731" ht="15.75" customHeight="1" s="215"/>
    <row r="732" ht="15.75" customHeight="1" s="215"/>
    <row r="733" ht="15.75" customHeight="1" s="215"/>
    <row r="734" ht="15.75" customHeight="1" s="215"/>
    <row r="735" ht="15.75" customHeight="1" s="215"/>
    <row r="736" ht="15.75" customHeight="1" s="215"/>
    <row r="737" ht="15.75" customHeight="1" s="215"/>
    <row r="738" ht="15.75" customHeight="1" s="215"/>
    <row r="739" ht="15.75" customHeight="1" s="215"/>
    <row r="740" ht="15.75" customHeight="1" s="215"/>
    <row r="741" ht="15.75" customHeight="1" s="215"/>
    <row r="742" ht="15.75" customHeight="1" s="215"/>
    <row r="743" ht="15.75" customHeight="1" s="215"/>
    <row r="744" ht="15.75" customHeight="1" s="215"/>
    <row r="745" ht="15.75" customHeight="1" s="215"/>
    <row r="746" ht="15.75" customHeight="1" s="215"/>
    <row r="747" ht="15.75" customHeight="1" s="215"/>
    <row r="748" ht="15.75" customHeight="1" s="215"/>
    <row r="749" ht="15.75" customHeight="1" s="215"/>
    <row r="750" ht="15.75" customHeight="1" s="215"/>
    <row r="751" ht="15.75" customHeight="1" s="215"/>
    <row r="752" ht="15.75" customHeight="1" s="215"/>
    <row r="753" ht="15.75" customHeight="1" s="215"/>
    <row r="754" ht="15.75" customHeight="1" s="215"/>
    <row r="755" ht="15.75" customHeight="1" s="215"/>
    <row r="756" ht="15.75" customHeight="1" s="215"/>
    <row r="757" ht="15.75" customHeight="1" s="215"/>
    <row r="758" ht="15.75" customHeight="1" s="215"/>
    <row r="759" ht="15.75" customHeight="1" s="215"/>
    <row r="760" ht="15.75" customHeight="1" s="215"/>
    <row r="761" ht="15.75" customHeight="1" s="215"/>
    <row r="762" ht="15.75" customHeight="1" s="215"/>
    <row r="763" ht="15.75" customHeight="1" s="215"/>
    <row r="764" ht="15.75" customHeight="1" s="215"/>
    <row r="765" ht="15.75" customHeight="1" s="215"/>
    <row r="766" ht="15.75" customHeight="1" s="215"/>
    <row r="767" ht="15.75" customHeight="1" s="215"/>
    <row r="768" ht="15.75" customHeight="1" s="215"/>
    <row r="769" ht="15.75" customHeight="1" s="215"/>
    <row r="770" ht="15.75" customHeight="1" s="215"/>
    <row r="771" ht="15.75" customHeight="1" s="215"/>
    <row r="772" ht="15.75" customHeight="1" s="215"/>
    <row r="773" ht="15.75" customHeight="1" s="215"/>
    <row r="774" ht="15.75" customHeight="1" s="215"/>
    <row r="775" ht="15.75" customHeight="1" s="215"/>
    <row r="776" ht="15.75" customHeight="1" s="215"/>
    <row r="777" ht="15.75" customHeight="1" s="215"/>
    <row r="778" ht="15.75" customHeight="1" s="215"/>
    <row r="779" ht="15.75" customHeight="1" s="215"/>
    <row r="780" ht="15.75" customHeight="1" s="215"/>
    <row r="781" ht="15.75" customHeight="1" s="215"/>
    <row r="782" ht="15.75" customHeight="1" s="215"/>
    <row r="783" ht="15.75" customHeight="1" s="215"/>
    <row r="784" ht="15.75" customHeight="1" s="215"/>
    <row r="785" ht="15.75" customHeight="1" s="215"/>
    <row r="786" ht="15.75" customHeight="1" s="215"/>
    <row r="787" ht="15.75" customHeight="1" s="215"/>
    <row r="788" ht="15.75" customHeight="1" s="215"/>
    <row r="789" ht="15.75" customHeight="1" s="215"/>
    <row r="790" ht="15.75" customHeight="1" s="215"/>
    <row r="791" ht="15.75" customHeight="1" s="215"/>
    <row r="792" ht="15.75" customHeight="1" s="215"/>
    <row r="793" ht="15.75" customHeight="1" s="215"/>
    <row r="794" ht="15.75" customHeight="1" s="215"/>
    <row r="795" ht="15.75" customHeight="1" s="215"/>
    <row r="796" ht="15.75" customHeight="1" s="215"/>
    <row r="797" ht="15.75" customHeight="1" s="215"/>
    <row r="798" ht="15.75" customHeight="1" s="215"/>
    <row r="799" ht="15.75" customHeight="1" s="215"/>
    <row r="800" ht="15.75" customHeight="1" s="215"/>
    <row r="801" ht="15.75" customHeight="1" s="215"/>
    <row r="802" ht="15.75" customHeight="1" s="215"/>
    <row r="803" ht="15.75" customHeight="1" s="215"/>
    <row r="804" ht="15.75" customHeight="1" s="215"/>
    <row r="805" ht="15.75" customHeight="1" s="215"/>
    <row r="806" ht="15.75" customHeight="1" s="215"/>
    <row r="807" ht="15.75" customHeight="1" s="215"/>
    <row r="808" ht="15.75" customHeight="1" s="215"/>
    <row r="809" ht="15.75" customHeight="1" s="215"/>
    <row r="810" ht="15.75" customHeight="1" s="215"/>
    <row r="811" ht="15.75" customHeight="1" s="215"/>
    <row r="812" ht="15.75" customHeight="1" s="215"/>
    <row r="813" ht="15.75" customHeight="1" s="215"/>
    <row r="814" ht="15.75" customHeight="1" s="215"/>
    <row r="815" ht="15.75" customHeight="1" s="215"/>
    <row r="816" ht="15.75" customHeight="1" s="215"/>
    <row r="817" ht="15.75" customHeight="1" s="215"/>
    <row r="818" ht="15.75" customHeight="1" s="215"/>
    <row r="819" ht="15.75" customHeight="1" s="215"/>
    <row r="820" ht="15.75" customHeight="1" s="215"/>
    <row r="821" ht="15.75" customHeight="1" s="215"/>
    <row r="822" ht="15.75" customHeight="1" s="215"/>
    <row r="823" ht="15.75" customHeight="1" s="215"/>
    <row r="824" ht="15.75" customHeight="1" s="215"/>
    <row r="825" ht="15.75" customHeight="1" s="215"/>
    <row r="826" ht="15.75" customHeight="1" s="215"/>
    <row r="827" ht="15.75" customHeight="1" s="215"/>
    <row r="828" ht="15.75" customHeight="1" s="215"/>
    <row r="829" ht="15.75" customHeight="1" s="215"/>
    <row r="830" ht="15.75" customHeight="1" s="215"/>
    <row r="831" ht="15.75" customHeight="1" s="215"/>
    <row r="832" ht="15.75" customHeight="1" s="215"/>
    <row r="833" ht="15.75" customHeight="1" s="215"/>
    <row r="834" ht="15.75" customHeight="1" s="215"/>
    <row r="835" ht="15.75" customHeight="1" s="215"/>
    <row r="836" ht="15.75" customHeight="1" s="215"/>
    <row r="837" ht="15.75" customHeight="1" s="215"/>
    <row r="838" ht="15.75" customHeight="1" s="215"/>
    <row r="839" ht="15.75" customHeight="1" s="215"/>
    <row r="840" ht="15.75" customHeight="1" s="215"/>
    <row r="841" ht="15.75" customHeight="1" s="215"/>
    <row r="842" ht="15.75" customHeight="1" s="215"/>
    <row r="843" ht="15.75" customHeight="1" s="215"/>
    <row r="844" ht="15.75" customHeight="1" s="215"/>
    <row r="845" ht="15.75" customHeight="1" s="215"/>
    <row r="846" ht="15.75" customHeight="1" s="215"/>
    <row r="847" ht="15.75" customHeight="1" s="215"/>
    <row r="848" ht="15.75" customHeight="1" s="215"/>
    <row r="849" ht="15.75" customHeight="1" s="215"/>
    <row r="850" ht="15.75" customHeight="1" s="215"/>
    <row r="851" ht="15.75" customHeight="1" s="215"/>
    <row r="852" ht="15.75" customHeight="1" s="215"/>
    <row r="853" ht="15.75" customHeight="1" s="215"/>
    <row r="854" ht="15.75" customHeight="1" s="215"/>
    <row r="855" ht="15.75" customHeight="1" s="215"/>
    <row r="856" ht="15.75" customHeight="1" s="215"/>
    <row r="857" ht="15.75" customHeight="1" s="215"/>
    <row r="858" ht="15.75" customHeight="1" s="215"/>
    <row r="859" ht="15.75" customHeight="1" s="215"/>
    <row r="860" ht="15.75" customHeight="1" s="215"/>
    <row r="861" ht="15.75" customHeight="1" s="215"/>
    <row r="862" ht="15.75" customHeight="1" s="215"/>
    <row r="863" ht="15.75" customHeight="1" s="215"/>
    <row r="864" ht="15.75" customHeight="1" s="215"/>
    <row r="865" ht="15.75" customHeight="1" s="215"/>
    <row r="866" ht="15.75" customHeight="1" s="215"/>
    <row r="867" ht="15.75" customHeight="1" s="215"/>
    <row r="868" ht="15.75" customHeight="1" s="215"/>
    <row r="869" ht="15.75" customHeight="1" s="215"/>
    <row r="870" ht="15.75" customHeight="1" s="215"/>
    <row r="871" ht="15.75" customHeight="1" s="215"/>
    <row r="872" ht="15.75" customHeight="1" s="215"/>
    <row r="873" ht="15.75" customHeight="1" s="215"/>
    <row r="874" ht="15.75" customHeight="1" s="215"/>
    <row r="875" ht="15.75" customHeight="1" s="215"/>
    <row r="876" ht="15.75" customHeight="1" s="215"/>
    <row r="877" ht="15.75" customHeight="1" s="215"/>
    <row r="878" ht="15.75" customHeight="1" s="215"/>
    <row r="879" ht="15.75" customHeight="1" s="215"/>
    <row r="880" ht="15.75" customHeight="1" s="215"/>
    <row r="881" ht="15.75" customHeight="1" s="215"/>
    <row r="882" ht="15.75" customHeight="1" s="215"/>
    <row r="883" ht="15.75" customHeight="1" s="215"/>
    <row r="884" ht="15.75" customHeight="1" s="215"/>
    <row r="885" ht="15.75" customHeight="1" s="215"/>
    <row r="886" ht="15.75" customHeight="1" s="215"/>
    <row r="887" ht="15.75" customHeight="1" s="215"/>
    <row r="888" ht="15.75" customHeight="1" s="215"/>
    <row r="889" ht="15.75" customHeight="1" s="215"/>
    <row r="890" ht="15.75" customHeight="1" s="215"/>
    <row r="891" ht="15.75" customHeight="1" s="215"/>
    <row r="892" ht="15.75" customHeight="1" s="215"/>
    <row r="893" ht="15.75" customHeight="1" s="215"/>
    <row r="894" ht="15.75" customHeight="1" s="215"/>
    <row r="895" ht="15.75" customHeight="1" s="215"/>
    <row r="896" ht="15.75" customHeight="1" s="215"/>
    <row r="897" ht="15.75" customHeight="1" s="215"/>
    <row r="898" ht="15.75" customHeight="1" s="215"/>
    <row r="899" ht="15.75" customHeight="1" s="215"/>
    <row r="900" ht="15.75" customHeight="1" s="215"/>
    <row r="901" ht="15.75" customHeight="1" s="215"/>
    <row r="902" ht="15.75" customHeight="1" s="215"/>
    <row r="903" ht="15.75" customHeight="1" s="215"/>
    <row r="904" ht="15.75" customHeight="1" s="215"/>
    <row r="905" ht="15.75" customHeight="1" s="215"/>
    <row r="906" ht="15.75" customHeight="1" s="215"/>
    <row r="907" ht="15.75" customHeight="1" s="215"/>
    <row r="908" ht="15.75" customHeight="1" s="215"/>
    <row r="909" ht="15.75" customHeight="1" s="215"/>
    <row r="910" ht="15.75" customHeight="1" s="215"/>
    <row r="911" ht="15.75" customHeight="1" s="215"/>
    <row r="912" ht="15.75" customHeight="1" s="215"/>
    <row r="913" ht="15.75" customHeight="1" s="215"/>
    <row r="914" ht="15.75" customHeight="1" s="215"/>
    <row r="915" ht="15.75" customHeight="1" s="215"/>
    <row r="916" ht="15.75" customHeight="1" s="215"/>
    <row r="917" ht="15.75" customHeight="1" s="215"/>
    <row r="918" ht="15.75" customHeight="1" s="215"/>
    <row r="919" ht="15.75" customHeight="1" s="215"/>
    <row r="920" ht="15.75" customHeight="1" s="215"/>
    <row r="921" ht="15.75" customHeight="1" s="215"/>
    <row r="922" ht="15.75" customHeight="1" s="215"/>
    <row r="923" ht="15.75" customHeight="1" s="215"/>
    <row r="924" ht="15.75" customHeight="1" s="215"/>
    <row r="925" ht="15.75" customHeight="1" s="215"/>
    <row r="926" ht="15.75" customHeight="1" s="215"/>
    <row r="927" ht="15.75" customHeight="1" s="215"/>
    <row r="928" ht="15.75" customHeight="1" s="215"/>
    <row r="929" ht="15.75" customHeight="1" s="215"/>
    <row r="930" ht="15.75" customHeight="1" s="215"/>
    <row r="931" ht="15.75" customHeight="1" s="215"/>
    <row r="932" ht="15.75" customHeight="1" s="215"/>
    <row r="933" ht="15.75" customHeight="1" s="215"/>
    <row r="934" ht="15.75" customHeight="1" s="215"/>
    <row r="935" ht="15.75" customHeight="1" s="215"/>
    <row r="936" ht="15.75" customHeight="1" s="215"/>
    <row r="937" ht="15.75" customHeight="1" s="215"/>
    <row r="938" ht="15.75" customHeight="1" s="215"/>
    <row r="939" ht="15.75" customHeight="1" s="215"/>
    <row r="940" ht="15.75" customHeight="1" s="215"/>
    <row r="941" ht="15.75" customHeight="1" s="215"/>
    <row r="942" ht="15.75" customHeight="1" s="215"/>
    <row r="943" ht="15.75" customHeight="1" s="215"/>
    <row r="944" ht="15.75" customHeight="1" s="215"/>
    <row r="945" ht="15.75" customHeight="1" s="215"/>
    <row r="946" ht="15.75" customHeight="1" s="215"/>
    <row r="947" ht="15.75" customHeight="1" s="215"/>
    <row r="948" ht="15.75" customHeight="1" s="215"/>
    <row r="949" ht="15.75" customHeight="1" s="215"/>
    <row r="950" ht="15.75" customHeight="1" s="215"/>
    <row r="951" ht="15.75" customHeight="1" s="215"/>
    <row r="952" ht="15.75" customHeight="1" s="215"/>
    <row r="953" ht="15.75" customHeight="1" s="215"/>
    <row r="954" ht="15.75" customHeight="1" s="215"/>
    <row r="955" ht="15.75" customHeight="1" s="215"/>
    <row r="956" ht="15.75" customHeight="1" s="215"/>
    <row r="957" ht="15.75" customHeight="1" s="215"/>
    <row r="958" ht="15.75" customHeight="1" s="215"/>
    <row r="959" ht="15.75" customHeight="1" s="215"/>
    <row r="960" ht="15.75" customHeight="1" s="215"/>
    <row r="961" ht="15.75" customHeight="1" s="215"/>
    <row r="962" ht="15.75" customHeight="1" s="215"/>
    <row r="963" ht="15.75" customHeight="1" s="215"/>
    <row r="964" ht="15.75" customHeight="1" s="215"/>
    <row r="965" ht="15.75" customHeight="1" s="215"/>
    <row r="966" ht="15.75" customHeight="1" s="215"/>
    <row r="967" ht="15.75" customHeight="1" s="215"/>
    <row r="968" ht="15.75" customHeight="1" s="215"/>
    <row r="969" ht="15.75" customHeight="1" s="215"/>
    <row r="970" ht="15.75" customHeight="1" s="215"/>
    <row r="971" ht="15.75" customHeight="1" s="215"/>
    <row r="972" ht="15.75" customHeight="1" s="215"/>
    <row r="973" ht="15.75" customHeight="1" s="215"/>
    <row r="974" ht="15.75" customHeight="1" s="215"/>
    <row r="975" ht="15.75" customHeight="1" s="215"/>
    <row r="976" ht="15.75" customHeight="1" s="215"/>
    <row r="977" ht="15.75" customHeight="1" s="215"/>
    <row r="978" ht="15.75" customHeight="1" s="215"/>
    <row r="979" ht="15.75" customHeight="1" s="215"/>
    <row r="980" ht="15.75" customHeight="1" s="215"/>
    <row r="981" ht="15.75" customHeight="1" s="215"/>
    <row r="982" ht="15.75" customHeight="1" s="215"/>
    <row r="983" ht="15.75" customHeight="1" s="215"/>
    <row r="984" ht="15.75" customHeight="1" s="215"/>
    <row r="985" ht="15.75" customHeight="1" s="215"/>
    <row r="986" ht="15.75" customHeight="1" s="215"/>
    <row r="987" ht="15.75" customHeight="1" s="215"/>
    <row r="988" ht="15.75" customHeight="1" s="215"/>
    <row r="989" ht="15.75" customHeight="1" s="215"/>
    <row r="990" ht="15.75" customHeight="1" s="215"/>
    <row r="991" ht="15.75" customHeight="1" s="215"/>
    <row r="992" ht="15.75" customHeight="1" s="215"/>
    <row r="993" ht="15.75" customHeight="1" s="215"/>
    <row r="994" ht="15.75" customHeight="1" s="215"/>
    <row r="995" ht="15.75" customHeight="1" s="215"/>
    <row r="996" ht="15.75" customHeight="1" s="215"/>
    <row r="997" ht="15.75" customHeight="1" s="215"/>
    <row r="998" ht="15.75" customHeight="1" s="215"/>
    <row r="999" ht="15.75" customHeight="1" s="215"/>
    <row r="1000" ht="15.75" customHeight="1" s="215"/>
  </sheetData>
  <mergeCells count="5">
    <mergeCell ref="H9:H10"/>
    <mergeCell ref="B7:C7"/>
    <mergeCell ref="B10:C10"/>
    <mergeCell ref="B2:H2"/>
    <mergeCell ref="E9:G9"/>
  </mergeCells>
  <pageMargins left="0.7" right="0.7" top="0.75" bottom="0.75" header="0" footer="0"/>
  <pageSetup orientation="portrait"/>
</worksheet>
</file>

<file path=xl/worksheets/sheet4.xml><?xml version="1.0" encoding="utf-8"?>
<worksheet xmlns="http://schemas.openxmlformats.org/spreadsheetml/2006/main">
  <sheetPr>
    <tabColor rgb="FF385623"/>
    <outlinePr summaryBelow="1" summaryRight="1"/>
    <pageSetUpPr/>
  </sheetPr>
  <dimension ref="A2:Z388"/>
  <sheetViews>
    <sheetView workbookViewId="0">
      <selection activeCell="A1" sqref="A1"/>
    </sheetView>
  </sheetViews>
  <sheetFormatPr baseColWidth="8" defaultColWidth="12.63" defaultRowHeight="15" customHeight="1"/>
  <cols>
    <col width="2.5" customWidth="1" style="215" min="1" max="1"/>
    <col width="6.75" customWidth="1" style="215" min="2" max="2"/>
    <col width="101.13" customWidth="1" style="215" min="3" max="3"/>
    <col width="3.75" customWidth="1" style="215" min="4" max="4"/>
    <col width="6.25" customWidth="1" style="215" min="5" max="7"/>
    <col width="75" customWidth="1" style="215" min="8" max="8"/>
    <col width="10" customWidth="1" style="215" min="9" max="9"/>
    <col width="24.25" customWidth="1" style="215" min="10" max="10"/>
    <col width="10" customWidth="1" style="215" min="11" max="26"/>
  </cols>
  <sheetData>
    <row r="2" ht="21.75" customHeight="1" s="215">
      <c r="B2" s="31" t="inlineStr">
        <is>
          <t>LISTADO DE REQUERIMIENTOS DEL SISTEMA IMPLEMENTACION DEL SOFTWARE DE RESERVAS PARA EVENTOS DE RESTAURANTES EN BUCARAMANGA (RESERVIFY)</t>
        </is>
      </c>
    </row>
    <row r="3" ht="15" customHeight="1" s="215">
      <c r="B3" s="32" t="n"/>
      <c r="C3" s="32" t="n"/>
    </row>
    <row r="4" ht="15.75" customHeight="1" s="215">
      <c r="B4" s="33" t="inlineStr">
        <is>
          <t>SI</t>
        </is>
      </c>
      <c r="C4" s="34" t="inlineStr">
        <is>
          <t>Marque con una equis (X) si el sistema cumple con la función descrita</t>
        </is>
      </c>
    </row>
    <row r="5" ht="15.75" customHeight="1" s="215">
      <c r="B5" s="33" t="inlineStr">
        <is>
          <t>NO</t>
        </is>
      </c>
      <c r="C5" s="34" t="inlineStr">
        <is>
          <t>Marque con una equis (X) si el sistema no cumple con la función descrita</t>
        </is>
      </c>
    </row>
    <row r="6" ht="15.75" customHeight="1" s="215">
      <c r="B6" s="33" t="inlineStr">
        <is>
          <t>ADI</t>
        </is>
      </c>
      <c r="C6" s="34" t="inlineStr">
        <is>
          <t>Marque con una equis (X) si el sistema debe adicionar la función descrita</t>
        </is>
      </c>
      <c r="R6" s="36">
        <f>COUNTA('REQ. No funcionales'!E12:E58,Financieras!C12:C44,#REF!,#REF!,'Gestion Humana'!C12:C23,'REQ. funcionales db'!E12:E58)</f>
        <v/>
      </c>
    </row>
    <row r="7" ht="15.75" customHeight="1" s="215">
      <c r="B7" s="35" t="inlineStr">
        <is>
          <t>Observaciones:Espacio para complementar respuestas</t>
        </is>
      </c>
    </row>
    <row r="8" ht="15.75" customHeight="1" s="215">
      <c r="B8" s="35" t="n"/>
      <c r="C8" s="35" t="n"/>
    </row>
    <row r="9" ht="15" customHeight="1" s="215">
      <c r="E9" s="37" t="inlineStr">
        <is>
          <t>Nivel de cumplimiento</t>
        </is>
      </c>
      <c r="F9" s="224" t="n"/>
      <c r="G9" s="224" t="n"/>
      <c r="H9" s="40" t="inlineStr">
        <is>
          <t>OBSERVACIONES</t>
        </is>
      </c>
    </row>
    <row r="10" ht="20.25" customHeight="1" s="215">
      <c r="B10" s="41" t="inlineStr">
        <is>
          <t xml:space="preserve">REQUISITOS FUNCIONALES GENERALES </t>
        </is>
      </c>
      <c r="C10" s="226" t="n"/>
      <c r="D10" s="43" t="n"/>
      <c r="E10" s="44" t="inlineStr">
        <is>
          <t>SI</t>
        </is>
      </c>
      <c r="F10" s="45" t="inlineStr">
        <is>
          <t>ADI</t>
        </is>
      </c>
      <c r="G10" s="45" t="inlineStr">
        <is>
          <t>NO</t>
        </is>
      </c>
      <c r="H10" s="230" t="n"/>
      <c r="I10" s="47" t="n"/>
    </row>
    <row r="11" ht="11.25" customHeight="1" s="215">
      <c r="B11" s="48" t="n"/>
      <c r="C11" s="75" t="n"/>
      <c r="H11" s="76" t="n"/>
    </row>
    <row r="12" s="215">
      <c r="B12" s="82" t="n">
        <v>1</v>
      </c>
      <c r="C12" s="231" t="inlineStr">
        <is>
          <t>DB-001 – Auditoría de tablas del sistema (incluye sesión JWT, correo, reset de contraseña y tablas núcleo)</t>
        </is>
      </c>
      <c r="E12" s="71" t="inlineStr">
        <is>
          <t>x</t>
        </is>
      </c>
      <c r="F12" s="57" t="n"/>
      <c r="G12" s="57" t="n"/>
      <c r="H12" s="57" t="n"/>
      <c r="J12" s="57" t="inlineStr">
        <is>
          <t>requerimientos total</t>
        </is>
      </c>
      <c r="K12" s="58">
        <f>COUNTA(C12:C137)</f>
        <v/>
      </c>
    </row>
    <row r="13" s="215">
      <c r="B13" s="82" t="n">
        <v>2</v>
      </c>
      <c r="C13" s="231" t="inlineStr">
        <is>
          <t>DB-002 – Tabla de credenciales</t>
        </is>
      </c>
      <c r="E13" s="71" t="inlineStr">
        <is>
          <t>x</t>
        </is>
      </c>
      <c r="F13" s="57" t="n"/>
      <c r="G13" s="57" t="n"/>
      <c r="H13" s="57" t="n"/>
      <c r="J13" s="57" t="inlineStr">
        <is>
          <t>requerimientos completados</t>
        </is>
      </c>
      <c r="K13" s="58">
        <f>COUNTA(E12:E137)</f>
        <v/>
      </c>
    </row>
    <row r="14" s="215">
      <c r="B14" s="82" t="n">
        <v>3</v>
      </c>
      <c r="C14" s="231" t="inlineStr">
        <is>
          <t>DB-003 – Tabla de roles</t>
        </is>
      </c>
      <c r="E14" s="71" t="inlineStr">
        <is>
          <t>x</t>
        </is>
      </c>
      <c r="F14" s="57" t="n"/>
      <c r="G14" s="57" t="n"/>
      <c r="H14" s="57" t="n"/>
      <c r="J14" s="57" t="inlineStr">
        <is>
          <t>porcentaje</t>
        </is>
      </c>
      <c r="K14" s="58">
        <f>K12 - K13</f>
        <v/>
      </c>
    </row>
    <row r="15" s="215">
      <c r="B15" s="82" t="n">
        <v>4</v>
      </c>
      <c r="C15" s="231" t="inlineStr">
        <is>
          <t>DB-004 – Tabla de usuarios (clientes, dueños, empleados)</t>
        </is>
      </c>
      <c r="E15" s="71" t="inlineStr">
        <is>
          <t>x</t>
        </is>
      </c>
      <c r="F15" s="57" t="n"/>
      <c r="G15" s="57" t="n"/>
      <c r="H15" s="57" t="n"/>
      <c r="J15" s="57" t="n"/>
      <c r="K15" s="58">
        <f>TEXT((K13/K12)*100,"0,00") &amp; "%"</f>
        <v/>
      </c>
    </row>
    <row r="16" s="215">
      <c r="B16" s="82" t="n">
        <v>5</v>
      </c>
      <c r="C16" s="231" t="inlineStr">
        <is>
          <t>DB-005 – Tabla de categorías de restaurantes</t>
        </is>
      </c>
      <c r="E16" s="71" t="inlineStr">
        <is>
          <t>x</t>
        </is>
      </c>
      <c r="F16" s="57" t="n"/>
      <c r="G16" s="57" t="n"/>
      <c r="H16" s="57" t="n"/>
      <c r="J16" s="57" t="n"/>
      <c r="K16" s="58" t="n"/>
    </row>
    <row r="17" s="215">
      <c r="B17" s="82" t="n">
        <v>6</v>
      </c>
      <c r="C17" s="231" t="inlineStr">
        <is>
          <t>DB-006 – Tabla de restaurantes</t>
        </is>
      </c>
      <c r="E17" s="71" t="inlineStr">
        <is>
          <t>x</t>
        </is>
      </c>
      <c r="F17" s="57" t="n"/>
      <c r="G17" s="57" t="n"/>
      <c r="H17" s="57" t="n"/>
      <c r="J17" s="57" t="n"/>
      <c r="K17" s="58" t="n"/>
    </row>
    <row r="18" s="215">
      <c r="B18" s="82" t="n">
        <v>7</v>
      </c>
      <c r="C18" s="231" t="inlineStr">
        <is>
          <t>DB-007 – Tabla de mesas</t>
        </is>
      </c>
      <c r="E18" s="71" t="inlineStr">
        <is>
          <t>x</t>
        </is>
      </c>
      <c r="F18" s="57" t="n"/>
      <c r="G18" s="57" t="n"/>
      <c r="H18" s="57" t="n"/>
      <c r="J18" s="57" t="n"/>
      <c r="K18" s="58" t="n"/>
    </row>
    <row r="19" s="215">
      <c r="B19" s="82" t="n">
        <v>8</v>
      </c>
      <c r="C19" s="231" t="inlineStr">
        <is>
          <t>DB-008 – Tabla de encabezado de factura</t>
        </is>
      </c>
      <c r="E19" s="71" t="inlineStr">
        <is>
          <t>x</t>
        </is>
      </c>
      <c r="F19" s="57" t="n"/>
      <c r="G19" s="57" t="n"/>
      <c r="H19" s="57" t="n"/>
      <c r="J19" s="57" t="n"/>
      <c r="K19" s="58" t="n"/>
    </row>
    <row r="20" s="215">
      <c r="B20" s="82" t="n">
        <v>9</v>
      </c>
      <c r="C20" s="231" t="inlineStr">
        <is>
          <t>DB-008A – Tabla de detalle de factura (líneas por encabezado)</t>
        </is>
      </c>
      <c r="E20" s="71" t="inlineStr">
        <is>
          <t>x</t>
        </is>
      </c>
      <c r="F20" s="57" t="n"/>
      <c r="G20" s="57" t="n"/>
      <c r="H20" s="57" t="n"/>
      <c r="J20" s="57" t="n"/>
      <c r="K20" s="58" t="n"/>
    </row>
    <row r="21" ht="15.75" customHeight="1" s="215">
      <c r="B21" s="82" t="n">
        <v>10</v>
      </c>
      <c r="C21" s="231" t="inlineStr">
        <is>
          <t>DB-008B – Tabla Administrador_restaurante (relación administrador ↔ restaurante)</t>
        </is>
      </c>
      <c r="E21" s="71" t="inlineStr">
        <is>
          <t>x</t>
        </is>
      </c>
      <c r="F21" s="57" t="n"/>
      <c r="G21" s="57" t="n"/>
      <c r="H21" s="57" t="n"/>
      <c r="J21" s="57" t="n"/>
      <c r="K21" s="58" t="n"/>
    </row>
    <row r="22" ht="15.75" customHeight="1" s="215">
      <c r="B22" s="82" t="n">
        <v>11</v>
      </c>
      <c r="C22" s="231" t="inlineStr">
        <is>
          <t>DB-009 – Tabla de reservas</t>
        </is>
      </c>
      <c r="E22" s="71" t="inlineStr">
        <is>
          <t>x</t>
        </is>
      </c>
      <c r="F22" s="57" t="n"/>
      <c r="G22" s="57" t="n"/>
      <c r="H22" s="57" t="n"/>
      <c r="J22" s="57" t="n"/>
      <c r="K22" s="58" t="n"/>
    </row>
    <row r="23" ht="15.75" customHeight="1" s="215">
      <c r="B23" s="82" t="n">
        <v>12</v>
      </c>
      <c r="C23" s="231" t="inlineStr">
        <is>
          <t>DB-010 – Tabla de cálculos mensuales</t>
        </is>
      </c>
      <c r="E23" s="71" t="inlineStr">
        <is>
          <t>x</t>
        </is>
      </c>
      <c r="F23" s="57" t="n"/>
      <c r="G23" s="57" t="n"/>
      <c r="H23" s="57" t="n"/>
      <c r="J23" s="57" t="n"/>
      <c r="K23" s="58" t="n"/>
    </row>
    <row r="24" ht="15.75" customHeight="1" s="215">
      <c r="B24" s="82" t="n">
        <v>13</v>
      </c>
      <c r="C24" s="231" t="inlineStr">
        <is>
          <t>DB-011 – Tabla de comentarios (reseñas por restaurante y cliente)</t>
        </is>
      </c>
      <c r="E24" s="71" t="inlineStr">
        <is>
          <t>x</t>
        </is>
      </c>
      <c r="F24" s="57" t="n"/>
      <c r="G24" s="57" t="n"/>
      <c r="H24" s="57" t="n"/>
      <c r="J24" s="57" t="n"/>
      <c r="K24" s="58" t="n"/>
    </row>
    <row r="25" ht="15.75" customHeight="1" s="215">
      <c r="B25" s="82" t="n">
        <v>14</v>
      </c>
      <c r="C25" s="231" t="inlineStr">
        <is>
          <t>DB-012 – Integridad referencial y borrado en cascada</t>
        </is>
      </c>
      <c r="E25" s="71" t="inlineStr">
        <is>
          <t>x</t>
        </is>
      </c>
      <c r="F25" s="57" t="n"/>
      <c r="G25" s="57" t="n"/>
      <c r="H25" s="57" t="n"/>
      <c r="J25" s="57" t="n"/>
      <c r="K25" s="58" t="n"/>
    </row>
    <row r="26" ht="15.75" customHeight="1" s="215">
      <c r="B26" s="82" t="n">
        <v>15</v>
      </c>
      <c r="C26" s="231" t="inlineStr">
        <is>
          <t>DB-013 – Restricciones de formato y unicidad</t>
        </is>
      </c>
      <c r="E26" s="71" t="inlineStr">
        <is>
          <t>x</t>
        </is>
      </c>
      <c r="F26" s="57" t="n"/>
      <c r="G26" s="57" t="n"/>
      <c r="H26" s="57" t="n"/>
      <c r="J26" s="57" t="n"/>
      <c r="K26" s="58" t="n"/>
    </row>
    <row r="27" ht="15.75" customHeight="1" s="215">
      <c r="B27" s="82" t="n">
        <v>16</v>
      </c>
      <c r="C27" s="231" t="inlineStr">
        <is>
          <t>DB-014 – Asociación de restaurantes a categorías y dueños</t>
        </is>
      </c>
      <c r="D27" s="90" t="n"/>
      <c r="E27" s="71" t="inlineStr">
        <is>
          <t>x</t>
        </is>
      </c>
      <c r="F27" s="57" t="n"/>
      <c r="G27" s="57" t="n"/>
      <c r="H27" s="57" t="n"/>
      <c r="J27" s="57" t="n"/>
      <c r="K27" s="58" t="n"/>
    </row>
    <row r="28" ht="15.75" customHeight="1" s="215">
      <c r="B28" s="82" t="n">
        <v>17</v>
      </c>
      <c r="C28" s="231" t="inlineStr">
        <is>
          <t>DB-015 – Tokens de sesión y configuración de correo</t>
        </is>
      </c>
      <c r="D28" s="1" t="n"/>
      <c r="E28" s="71" t="inlineStr">
        <is>
          <t>x</t>
        </is>
      </c>
      <c r="F28" s="57" t="n"/>
      <c r="G28" s="57" t="n"/>
      <c r="H28" s="57" t="n"/>
      <c r="J28" s="57" t="n"/>
      <c r="K28" s="58" t="n"/>
    </row>
    <row r="29" ht="15.75" customHeight="1" s="215">
      <c r="B29" s="82" t="n">
        <v>18</v>
      </c>
      <c r="C29" s="231" t="inlineStr">
        <is>
          <t>DB-016 – Límite de imágenes de referencia por restaurante</t>
        </is>
      </c>
      <c r="D29" s="1" t="n"/>
      <c r="E29" s="71" t="inlineStr">
        <is>
          <t>x</t>
        </is>
      </c>
      <c r="F29" s="57" t="n"/>
      <c r="G29" s="57" t="n"/>
      <c r="H29" s="57" t="n"/>
      <c r="J29" s="57" t="n"/>
      <c r="K29" s="58" t="n"/>
    </row>
    <row r="30" ht="15.75" customHeight="1" s="215">
      <c r="B30" s="82" t="n">
        <v>19</v>
      </c>
      <c r="C30" s="231" t="inlineStr">
        <is>
          <t>DB-017 – Índices para correos archivados (credencial+uid, por fecha recibida y por creación)</t>
        </is>
      </c>
      <c r="D30" s="93" t="n"/>
      <c r="E30" s="71" t="inlineStr">
        <is>
          <t>x</t>
        </is>
      </c>
      <c r="F30" s="57" t="n"/>
      <c r="G30" s="57" t="n"/>
      <c r="H30" s="57" t="n"/>
      <c r="J30" s="57" t="n"/>
      <c r="K30" s="58" t="n"/>
    </row>
    <row r="31" ht="15.75" customHeight="1" s="215">
      <c r="B31" s="82" t="n">
        <v>20</v>
      </c>
      <c r="C31" s="231" t="inlineStr">
        <is>
          <t>DB-018 – Configuración de correo con consentimiento explícito y trazabilidad</t>
        </is>
      </c>
      <c r="D31" s="95" t="n"/>
      <c r="E31" s="71" t="inlineStr">
        <is>
          <t>x</t>
        </is>
      </c>
      <c r="F31" s="57" t="n"/>
      <c r="G31" s="57" t="n"/>
      <c r="H31" s="57" t="n"/>
      <c r="J31" s="57" t="n"/>
      <c r="K31" s="58" t="n"/>
    </row>
    <row r="32" ht="15.75" customHeight="1" s="215">
      <c r="B32" s="82" t="n">
        <v>21</v>
      </c>
      <c r="C32" s="231" t="inlineStr">
        <is>
          <t>DB-001A – Auditoría con almacenamiento del registro completo en JSONB</t>
        </is>
      </c>
      <c r="E32" s="71" t="inlineStr">
        <is>
          <t>x</t>
        </is>
      </c>
      <c r="F32" s="57" t="n"/>
      <c r="G32" s="57" t="n"/>
      <c r="H32" s="57" t="n"/>
      <c r="J32" s="57" t="n"/>
      <c r="K32" s="58" t="n"/>
    </row>
    <row r="33" ht="15.75" customHeight="1" s="215">
      <c r="B33" s="82" t="n">
        <v>22</v>
      </c>
      <c r="C33" s="231" t="inlineStr">
        <is>
          <t>DB-004A – Validación de teléfono con formato de 10 dígitos</t>
        </is>
      </c>
      <c r="E33" s="71" t="n"/>
      <c r="F33" s="57" t="inlineStr">
        <is>
          <t>x</t>
        </is>
      </c>
      <c r="G33" s="57" t="n"/>
      <c r="H33" s="57" t="inlineStr">
        <is>
          <t>Parcial (CHECK `^[0-9]{10}$`; el `DEFAULT 'sin dato'` no cumple el patrón; el alta de usuarios debe enviar 10 dígitos o ajustarse en aplicación/funciones).</t>
        </is>
      </c>
      <c r="J33" s="57" t="n"/>
      <c r="K33" s="58" t="n"/>
    </row>
    <row r="34" ht="15.75" customHeight="1" s="215">
      <c r="B34" s="82" t="n">
        <v>23</v>
      </c>
      <c r="C34" s="231" t="inlineStr">
        <is>
          <t>DB-006A – Antelación mínima configurable por restaurante</t>
        </is>
      </c>
      <c r="E34" s="71" t="inlineStr">
        <is>
          <t>x</t>
        </is>
      </c>
      <c r="F34" s="57" t="n"/>
      <c r="G34" s="57" t="n"/>
      <c r="H34" s="57" t="n"/>
      <c r="J34" s="57" t="n"/>
      <c r="K34" s="58" t="n"/>
    </row>
    <row r="35" ht="15.75" customHeight="1" s="215">
      <c r="B35" s="82" t="n">
        <v>24</v>
      </c>
      <c r="C35" s="231" t="inlineStr">
        <is>
          <t>DB-009A – Prohibición de reservas en fechas pasadas</t>
        </is>
      </c>
      <c r="E35" s="71" t="inlineStr">
        <is>
          <t>x</t>
        </is>
      </c>
      <c r="F35" s="57" t="n"/>
      <c r="G35" s="57" t="n"/>
      <c r="H35" s="57" t="n"/>
      <c r="J35" s="57" t="n"/>
      <c r="K35" s="58" t="n"/>
    </row>
    <row r="36" ht="15.75" customHeight="1" s="215">
      <c r="B36" s="82" t="n">
        <v>25</v>
      </c>
      <c r="C36" s="231" t="inlineStr">
        <is>
          <t>DB-009B – Almacenamiento obligatorio del motivo de cancelación y ajuste</t>
        </is>
      </c>
      <c r="E36" s="71" t="inlineStr">
        <is>
          <t>x</t>
        </is>
      </c>
      <c r="F36" s="57" t="n"/>
      <c r="G36" s="57" t="n"/>
      <c r="H36" s="57" t="n"/>
      <c r="J36" s="57" t="n"/>
      <c r="K36" s="58" t="n"/>
    </row>
    <row r="37" ht="15.75" customHeight="1" s="215">
      <c r="B37" s="82" t="n">
        <v>26</v>
      </c>
      <c r="C37" s="231" t="inlineStr">
        <is>
          <t>DB-010A – Rango válido de meses y años en cálculos mensuales</t>
        </is>
      </c>
      <c r="E37" s="71" t="inlineStr">
        <is>
          <t>x</t>
        </is>
      </c>
      <c r="F37" s="57" t="n"/>
      <c r="G37" s="57" t="n"/>
      <c r="H37" s="57" t="n"/>
      <c r="J37" s="57" t="n"/>
      <c r="K37" s="58" t="n"/>
    </row>
    <row r="38" ht="15.75" customHeight="1" s="215">
      <c r="B38" s="82" t="n">
        <v>27</v>
      </c>
      <c r="C38" s="231" t="inlineStr">
        <is>
          <t>DB-011A – Restricción de calificación entre 0 y 5 incluida</t>
        </is>
      </c>
      <c r="E38" s="71" t="inlineStr">
        <is>
          <t>x</t>
        </is>
      </c>
      <c r="F38" s="57" t="n"/>
      <c r="G38" s="57" t="n"/>
      <c r="H38" s="57" t="n"/>
      <c r="J38" s="57" t="n"/>
      <c r="K38" s="58" t="n"/>
    </row>
    <row r="39" ht="15.75" customHeight="1" s="215">
      <c r="B39" s="82" t="n">
        <v>28</v>
      </c>
      <c r="C39" s="231" t="inlineStr">
        <is>
          <t>DB-015A – Índice único por `refresh_token` para sesiones</t>
        </is>
      </c>
      <c r="E39" s="71" t="inlineStr">
        <is>
          <t>x</t>
        </is>
      </c>
      <c r="F39" s="57" t="n"/>
      <c r="G39" s="57" t="n"/>
      <c r="H39" s="57" t="n"/>
      <c r="J39" s="57" t="n"/>
      <c r="K39" s="58" t="n"/>
    </row>
    <row r="40" ht="15.75" customHeight="1" s="215">
      <c r="B40" s="82" t="n">
        <v>29</v>
      </c>
      <c r="C40" s="231" t="inlineStr">
        <is>
          <t>DB-022 – Columna Credenciales.id_credencial</t>
        </is>
      </c>
      <c r="E40" s="71" t="inlineStr">
        <is>
          <t>x</t>
        </is>
      </c>
      <c r="F40" s="57" t="n"/>
      <c r="G40" s="57" t="n"/>
      <c r="H40" s="57" t="n"/>
      <c r="J40" s="57" t="n"/>
      <c r="K40" s="58" t="n"/>
    </row>
    <row r="41" ht="15.75" customHeight="1" s="215">
      <c r="B41" s="82" t="n">
        <v>30</v>
      </c>
      <c r="C41" s="231" t="inlineStr">
        <is>
          <t>DB-023 – Columna Credenciales.email con CHECK de formato</t>
        </is>
      </c>
      <c r="E41" s="71" t="inlineStr">
        <is>
          <t>x</t>
        </is>
      </c>
      <c r="F41" s="57" t="n"/>
      <c r="G41" s="57" t="n"/>
      <c r="H41" s="57" t="n"/>
      <c r="J41" s="57" t="n"/>
      <c r="K41" s="58" t="n"/>
    </row>
    <row r="42" ht="15.75" customHeight="1" s="215">
      <c r="B42" s="82" t="n">
        <v>31</v>
      </c>
      <c r="C42" s="231" t="inlineStr">
        <is>
          <t>DB-024 – Columna Credenciales.password</t>
        </is>
      </c>
      <c r="E42" s="71" t="inlineStr">
        <is>
          <t>x</t>
        </is>
      </c>
      <c r="F42" s="57" t="n"/>
      <c r="G42" s="57" t="n"/>
      <c r="H42" s="57" t="n"/>
      <c r="J42" s="57" t="n"/>
      <c r="K42" s="58" t="n"/>
    </row>
    <row r="43" ht="15.75" customHeight="1" s="215">
      <c r="B43" s="82" t="n">
        <v>32</v>
      </c>
      <c r="C43" s="231" t="inlineStr">
        <is>
          <t>DB-025 – Columna Roles.id_rol</t>
        </is>
      </c>
      <c r="E43" s="71" t="inlineStr">
        <is>
          <t>x</t>
        </is>
      </c>
      <c r="F43" s="57" t="n"/>
      <c r="G43" s="57" t="n"/>
      <c r="H43" s="57" t="n"/>
      <c r="J43" s="57" t="n"/>
      <c r="K43" s="58" t="n"/>
    </row>
    <row r="44" ht="15.75" customHeight="1" s="215">
      <c r="B44" s="82" t="n">
        <v>33</v>
      </c>
      <c r="C44" s="231" t="inlineStr">
        <is>
          <t>DB-026 – Columna Roles.nombre_rol</t>
        </is>
      </c>
      <c r="E44" s="71" t="inlineStr">
        <is>
          <t>x</t>
        </is>
      </c>
      <c r="F44" s="57" t="n"/>
      <c r="G44" s="57" t="n"/>
      <c r="H44" s="57" t="n"/>
      <c r="J44" s="57" t="n"/>
      <c r="K44" s="58" t="n"/>
    </row>
    <row r="45" ht="15.75" customHeight="1" s="215">
      <c r="B45" s="82" t="n">
        <v>34</v>
      </c>
      <c r="C45" s="231" t="inlineStr">
        <is>
          <t>DB-027 – Columna Roles.descripcion</t>
        </is>
      </c>
      <c r="E45" s="71" t="inlineStr">
        <is>
          <t>x</t>
        </is>
      </c>
      <c r="F45" s="57" t="n"/>
      <c r="G45" s="57" t="n"/>
      <c r="H45" s="57" t="n"/>
      <c r="J45" s="57" t="n"/>
      <c r="K45" s="58" t="n"/>
    </row>
    <row r="46" ht="15.75" customHeight="1" s="215">
      <c r="B46" s="82" t="n">
        <v>35</v>
      </c>
      <c r="C46" s="231" t="inlineStr">
        <is>
          <t>DB-028 – Columna Usuario.documento con CHECK positivo</t>
        </is>
      </c>
      <c r="E46" s="71" t="inlineStr">
        <is>
          <t>x</t>
        </is>
      </c>
      <c r="F46" s="57" t="n"/>
      <c r="G46" s="57" t="n"/>
      <c r="H46" s="57" t="n"/>
      <c r="J46" s="57" t="n"/>
      <c r="K46" s="58" t="n"/>
    </row>
    <row r="47" ht="15.75" customHeight="1" s="215">
      <c r="B47" s="82" t="n">
        <v>36</v>
      </c>
      <c r="C47" s="231" t="inlineStr">
        <is>
          <t>DB-029 – Columna Usuario.tipo_documento con dominio CC, CE, TI, Pasaporte</t>
        </is>
      </c>
      <c r="E47" s="71" t="inlineStr">
        <is>
          <t>x</t>
        </is>
      </c>
      <c r="F47" s="57" t="n"/>
      <c r="G47" s="57" t="n"/>
      <c r="H47" s="57" t="n"/>
      <c r="J47" s="57" t="n"/>
      <c r="K47" s="58" t="n"/>
    </row>
    <row r="48" ht="15.75" customHeight="1" s="215">
      <c r="B48" s="82" t="n">
        <v>37</v>
      </c>
      <c r="C48" s="231" t="inlineStr">
        <is>
          <t>DB-030 – Columna Usuario.nombre y apellido</t>
        </is>
      </c>
      <c r="E48" s="71" t="inlineStr">
        <is>
          <t>x</t>
        </is>
      </c>
      <c r="F48" s="57" t="n"/>
      <c r="G48" s="57" t="n"/>
      <c r="H48" s="57" t="n"/>
      <c r="J48" s="57" t="n"/>
      <c r="K48" s="58" t="n"/>
    </row>
    <row r="49" ht="15.75" customHeight="1" s="215">
      <c r="B49" s="82" t="n">
        <v>38</v>
      </c>
      <c r="C49" s="231" t="inlineStr">
        <is>
          <t>DB-031 – Columna Usuario.nacionalidad con default</t>
        </is>
      </c>
      <c r="E49" s="71" t="inlineStr">
        <is>
          <t>x</t>
        </is>
      </c>
      <c r="F49" s="57" t="n"/>
      <c r="G49" s="57" t="n"/>
      <c r="H49" s="57" t="n"/>
      <c r="J49" s="57" t="n"/>
      <c r="K49" s="58" t="n"/>
    </row>
    <row r="50" ht="15.75" customHeight="1" s="215">
      <c r="B50" s="82" t="n">
        <v>39</v>
      </c>
      <c r="C50" s="231" t="inlineStr">
        <is>
          <t>DB-032 – Columna Restaurante.restaurante_uid como PK y nit como UNIQUE de negocio</t>
        </is>
      </c>
      <c r="E50" s="71" t="inlineStr">
        <is>
          <t>x</t>
        </is>
      </c>
      <c r="F50" s="57" t="n"/>
      <c r="G50" s="57" t="n"/>
      <c r="H50" s="57" t="n"/>
      <c r="J50" s="57" t="n"/>
      <c r="K50" s="58" t="n"/>
    </row>
    <row r="51" ht="15.75" customHeight="1" s="215">
      <c r="B51" s="82" t="n">
        <v>40</v>
      </c>
      <c r="C51" s="231" t="inlineStr">
        <is>
          <t>DB-033 – Columna Restaurante.horario_apertura y horario_cierre con CHECK</t>
        </is>
      </c>
      <c r="E51" s="71" t="inlineStr">
        <is>
          <t>x</t>
        </is>
      </c>
      <c r="F51" s="57" t="n"/>
      <c r="G51" s="57" t="n"/>
      <c r="H51" s="57" t="n"/>
      <c r="J51" s="57" t="n"/>
      <c r="K51" s="58" t="n"/>
    </row>
    <row r="52" ht="15.75" customHeight="1" s="215">
      <c r="B52" s="82" t="n">
        <v>41</v>
      </c>
      <c r="C52" s="231" t="inlineStr">
        <is>
          <t>DB-034 – Columna Restaurante.lat y lng con default 0</t>
        </is>
      </c>
      <c r="E52" s="71" t="inlineStr">
        <is>
          <t>x</t>
        </is>
      </c>
      <c r="F52" s="57" t="n"/>
      <c r="G52" s="57" t="n"/>
      <c r="H52" s="57" t="n"/>
      <c r="J52" s="57" t="n"/>
      <c r="K52" s="58" t="n"/>
    </row>
    <row r="53" ht="15.75" customHeight="1" s="215">
      <c r="B53" s="82" t="n">
        <v>42</v>
      </c>
      <c r="C53" s="231" t="inlineStr">
        <is>
          <t>DB-035 – Columna Imagen_referencia_restaurante.orden con CHECK 0 a 14</t>
        </is>
      </c>
      <c r="E53" s="71" t="inlineStr">
        <is>
          <t>x</t>
        </is>
      </c>
      <c r="F53" s="57" t="n"/>
      <c r="G53" s="57" t="n"/>
      <c r="H53" s="57" t="n"/>
      <c r="J53" s="57" t="n"/>
      <c r="K53" s="58" t="n"/>
    </row>
    <row r="54" ht="15.75" customHeight="1" s="215">
      <c r="B54" s="82" t="n">
        <v>43</v>
      </c>
      <c r="C54" s="231" t="inlineStr">
        <is>
          <t>DB-036 – Columna Mesas.cant_personas positiva</t>
        </is>
      </c>
      <c r="E54" s="71" t="inlineStr">
        <is>
          <t>x</t>
        </is>
      </c>
      <c r="F54" s="57" t="n"/>
      <c r="G54" s="57" t="n"/>
      <c r="H54" s="57" t="n"/>
      <c r="J54" s="57" t="n"/>
      <c r="K54" s="58" t="n"/>
    </row>
    <row r="55" ht="15.75" customHeight="1" s="215">
      <c r="B55" s="82" t="n">
        <v>44</v>
      </c>
      <c r="C55" s="231" t="inlineStr">
        <is>
          <t>DB-037 – Columna Mesas.precio no negativa</t>
        </is>
      </c>
      <c r="E55" s="71" t="inlineStr">
        <is>
          <t>x</t>
        </is>
      </c>
      <c r="F55" s="57" t="n"/>
      <c r="G55" s="57" t="n"/>
      <c r="H55" s="57" t="n"/>
      <c r="J55" s="57" t="n"/>
      <c r="K55" s="58" t="n"/>
    </row>
    <row r="56" ht="15.75" customHeight="1" s="215">
      <c r="B56" s="82" t="n">
        <v>45</v>
      </c>
      <c r="C56" s="231" t="inlineStr">
        <is>
          <t>DB-038 – Columna Encabezado_Factura.forma_pago con dominio fijo</t>
        </is>
      </c>
      <c r="E56" s="71" t="inlineStr">
        <is>
          <t>x</t>
        </is>
      </c>
      <c r="F56" s="57" t="n"/>
      <c r="G56" s="57" t="n"/>
      <c r="H56" s="57" t="n"/>
      <c r="J56" s="57" t="n"/>
      <c r="K56" s="58" t="n"/>
    </row>
    <row r="57" ht="15.75" customHeight="1" s="215">
      <c r="B57" s="82" t="n">
        <v>46</v>
      </c>
      <c r="C57" s="231" t="inlineStr">
        <is>
          <t>DB-039 – Columna Reserva.estado_reserva con seis valores</t>
        </is>
      </c>
      <c r="E57" s="71" t="inlineStr">
        <is>
          <t>x</t>
        </is>
      </c>
      <c r="F57" s="57" t="n"/>
      <c r="G57" s="57" t="n"/>
      <c r="H57" s="57" t="n"/>
      <c r="J57" s="57" t="n"/>
      <c r="K57" s="58" t="n"/>
    </row>
    <row r="58" ht="15.75" customHeight="1" s="215">
      <c r="B58" s="82" t="n">
        <v>47</v>
      </c>
      <c r="C58" s="231" t="inlineStr">
        <is>
          <t>DB-040 – Restricción UNIQUE en Reserva (id_mesa, fecha, horario)</t>
        </is>
      </c>
      <c r="E58" s="71" t="inlineStr">
        <is>
          <t>x</t>
        </is>
      </c>
      <c r="F58" s="57" t="n"/>
      <c r="G58" s="57" t="n"/>
      <c r="H58" s="57" t="n"/>
      <c r="J58" s="57" t="n"/>
      <c r="K58" s="58" t="n"/>
    </row>
    <row r="59" ht="15.75" customHeight="1" s="215">
      <c r="B59" s="82" t="n">
        <v>48</v>
      </c>
      <c r="C59" s="231" t="inlineStr">
        <is>
          <t>DB-041 – Columna Comentarios.calificacion entre 0 y 5</t>
        </is>
      </c>
      <c r="E59" s="71" t="inlineStr">
        <is>
          <t>x</t>
        </is>
      </c>
      <c r="F59" s="57" t="n"/>
      <c r="G59" s="57" t="n"/>
      <c r="H59" s="57" t="n"/>
      <c r="J59" s="57" t="n"/>
      <c r="K59" s="58" t="n"/>
    </row>
    <row r="60" ht="15.75" customHeight="1" s="215">
      <c r="B60" s="82" t="n">
        <v>49</v>
      </c>
      <c r="C60" s="231" t="inlineStr">
        <is>
          <t>DB-042 – Columna Calculos_mensuales.mes entre 1 y 12</t>
        </is>
      </c>
      <c r="E60" s="71" t="inlineStr">
        <is>
          <t>x</t>
        </is>
      </c>
      <c r="F60" s="57" t="n"/>
      <c r="G60" s="57" t="n"/>
      <c r="H60" s="57" t="n"/>
      <c r="J60" s="57" t="n"/>
      <c r="K60" s="58" t="n"/>
    </row>
    <row r="61" ht="15.75" customHeight="1" s="215">
      <c r="B61" s="82" t="n">
        <v>50</v>
      </c>
      <c r="C61" s="231" t="inlineStr">
        <is>
          <t>DB-043 – Columna Calculos_mensuales.anio positiva</t>
        </is>
      </c>
      <c r="E61" s="71" t="inlineStr">
        <is>
          <t>x</t>
        </is>
      </c>
      <c r="F61" s="57" t="n"/>
      <c r="G61" s="57" t="n"/>
      <c r="H61" s="57" t="n"/>
      <c r="J61" s="57" t="n"/>
      <c r="K61" s="58" t="n"/>
    </row>
    <row r="62" ht="15.75" customHeight="1" s="215">
      <c r="B62" s="82" t="n">
        <v>51</v>
      </c>
      <c r="C62" s="231" t="inlineStr">
        <is>
          <t>DB-044 – Tabla jwt_tokens con token y refresh_token</t>
        </is>
      </c>
      <c r="E62" s="71" t="inlineStr">
        <is>
          <t>x</t>
        </is>
      </c>
      <c r="F62" s="57" t="n"/>
      <c r="G62" s="57" t="n"/>
      <c r="H62" s="57" t="n"/>
      <c r="J62" s="57" t="n"/>
      <c r="K62" s="58" t="n"/>
    </row>
    <row r="63" ht="15.75" customHeight="1" s="215">
      <c r="B63" s="82" t="n">
        <v>52</v>
      </c>
      <c r="C63" s="231" t="inlineStr">
        <is>
          <t>DB-045 – Tabla Password_Reset_Codes</t>
        </is>
      </c>
      <c r="E63" s="71" t="inlineStr">
        <is>
          <t>x</t>
        </is>
      </c>
      <c r="F63" s="57" t="n"/>
      <c r="G63" s="57" t="n"/>
      <c r="H63" s="57" t="n"/>
      <c r="J63" s="57" t="n"/>
      <c r="K63" s="58" t="n"/>
    </row>
    <row r="64" ht="15.75" customHeight="1" s="215">
      <c r="B64" s="82" t="n">
        <v>53</v>
      </c>
      <c r="C64" s="231" t="inlineStr">
        <is>
          <t>DB-046 – Columna SMTP_config.port en rango válido</t>
        </is>
      </c>
      <c r="E64" s="71" t="inlineStr">
        <is>
          <t>x</t>
        </is>
      </c>
      <c r="F64" s="57" t="n"/>
      <c r="G64" s="57" t="n"/>
      <c r="H64" s="57" t="n"/>
      <c r="J64" s="57" t="n"/>
      <c r="K64" s="58" t="n"/>
    </row>
    <row r="65" ht="15.75" customHeight="1" s="215">
      <c r="B65" s="82" t="n">
        <v>54</v>
      </c>
      <c r="C65" s="231" t="inlineStr">
        <is>
          <t>DB-047 – Columna IMAP_config.port en rango válido</t>
        </is>
      </c>
      <c r="E65" s="71" t="inlineStr">
        <is>
          <t>x</t>
        </is>
      </c>
      <c r="F65" s="57" t="n"/>
      <c r="G65" s="57" t="n"/>
      <c r="H65" s="57" t="n"/>
      <c r="J65" s="57" t="n"/>
      <c r="K65" s="58" t="n"/>
    </row>
    <row r="66" ht="15.75" customHeight="1" s="215">
      <c r="B66" s="82" t="n">
        <v>55</v>
      </c>
      <c r="C66" s="231" t="inlineStr">
        <is>
          <t>DB-048 – Tabla Mails con imap_uid y body_html</t>
        </is>
      </c>
      <c r="E66" s="71" t="inlineStr">
        <is>
          <t>x</t>
        </is>
      </c>
      <c r="F66" s="57" t="n"/>
      <c r="G66" s="57" t="n"/>
      <c r="H66" s="57" t="n"/>
      <c r="J66" s="57" t="n"/>
      <c r="K66" s="58" t="n"/>
    </row>
    <row r="67" ht="15.75" customHeight="1" s="215">
      <c r="B67" s="82" t="n">
        <v>56</v>
      </c>
      <c r="C67" s="231" t="inlineStr">
        <is>
          <t>DB-049 – Índice idx_imagen_ref_restaurante_uid</t>
        </is>
      </c>
      <c r="E67" s="71" t="inlineStr">
        <is>
          <t>x</t>
        </is>
      </c>
      <c r="F67" s="57" t="n"/>
      <c r="G67" s="57" t="n"/>
      <c r="H67" s="57" t="n"/>
      <c r="J67" s="57" t="n"/>
      <c r="K67" s="58" t="n"/>
    </row>
    <row r="68" ht="15.75" customHeight="1" s="215">
      <c r="B68" s="82" t="n">
        <v>57</v>
      </c>
      <c r="C68" s="231" t="inlineStr">
        <is>
          <t>DB-050 – Índice idx_password_reset_codes_credencial</t>
        </is>
      </c>
      <c r="E68" s="71" t="inlineStr">
        <is>
          <t>x</t>
        </is>
      </c>
      <c r="F68" s="57" t="n"/>
      <c r="G68" s="57" t="n"/>
      <c r="H68" s="57" t="n"/>
      <c r="J68" s="57" t="n"/>
      <c r="K68" s="58" t="n"/>
    </row>
    <row r="69" ht="15.75" customHeight="1" s="215">
      <c r="B69" s="82" t="n">
        <v>58</v>
      </c>
      <c r="C69" s="231" t="inlineStr">
        <is>
          <t>DB-051 – UNIQUE id_credencial en SMTP_config</t>
        </is>
      </c>
      <c r="E69" s="71" t="inlineStr">
        <is>
          <t>x</t>
        </is>
      </c>
      <c r="F69" s="57" t="n"/>
      <c r="G69" s="57" t="n"/>
      <c r="H69" s="57" t="n"/>
      <c r="J69" s="57" t="n"/>
      <c r="K69" s="58" t="n"/>
    </row>
    <row r="70" ht="15.75" customHeight="1" s="215">
      <c r="B70" s="82" t="n">
        <v>59</v>
      </c>
      <c r="C70" s="231" t="inlineStr">
        <is>
          <t>DB-052 – UNIQUE id_credencial en IMAP_config</t>
        </is>
      </c>
      <c r="E70" s="71" t="inlineStr">
        <is>
          <t>x</t>
        </is>
      </c>
      <c r="F70" s="57" t="n"/>
      <c r="G70" s="57" t="n"/>
      <c r="H70" s="57" t="n"/>
      <c r="J70" s="57" t="n"/>
      <c r="K70" s="58" t="n"/>
    </row>
    <row r="71" ht="15.75" customHeight="1" s="215">
      <c r="B71" s="82" t="n">
        <v>60</v>
      </c>
      <c r="C71" s="231" t="inlineStr">
        <is>
          <t>DB-053 – Tabla Auditoria con registro JSONB</t>
        </is>
      </c>
      <c r="E71" s="71" t="inlineStr">
        <is>
          <t>x</t>
        </is>
      </c>
      <c r="F71" s="57" t="n"/>
      <c r="G71" s="57" t="n"/>
      <c r="H71" s="57" t="n"/>
      <c r="J71" s="57" t="n"/>
      <c r="K71" s="58" t="n"/>
    </row>
    <row r="72" ht="15.75" customHeight="1" s="215">
      <c r="B72" s="82" t="n">
        <v>61</v>
      </c>
      <c r="C72" s="231" t="inlineStr">
        <is>
          <t>DB-054 – Trigger auditoria_insert_credenciales</t>
        </is>
      </c>
      <c r="E72" s="71" t="inlineStr">
        <is>
          <t>x</t>
        </is>
      </c>
      <c r="F72" s="57" t="n"/>
      <c r="G72" s="57" t="n"/>
      <c r="H72" s="57" t="n"/>
      <c r="J72" s="57" t="n"/>
      <c r="K72" s="58" t="n"/>
    </row>
    <row r="73" ht="15.75" customHeight="1" s="215">
      <c r="B73" s="82" t="n">
        <v>62</v>
      </c>
      <c r="C73" s="231" t="inlineStr">
        <is>
          <t>DB-055 – Trigger auditoria_update_credenciales</t>
        </is>
      </c>
      <c r="E73" s="71" t="inlineStr">
        <is>
          <t>x</t>
        </is>
      </c>
      <c r="F73" s="57" t="n"/>
      <c r="G73" s="57" t="n"/>
      <c r="H73" s="57" t="n"/>
      <c r="J73" s="57" t="n"/>
      <c r="K73" s="58" t="n"/>
    </row>
    <row r="74" ht="15.75" customHeight="1" s="215">
      <c r="B74" s="82" t="n">
        <v>63</v>
      </c>
      <c r="C74" s="231" t="inlineStr">
        <is>
          <t>DB-056 – Trigger auditoria_delete_credenciales</t>
        </is>
      </c>
      <c r="E74" s="71" t="inlineStr">
        <is>
          <t>x</t>
        </is>
      </c>
      <c r="F74" s="57" t="n"/>
      <c r="G74" s="57" t="n"/>
      <c r="H74" s="57" t="n"/>
      <c r="J74" s="57" t="n"/>
      <c r="K74" s="58" t="n"/>
    </row>
    <row r="75" ht="15.75" customHeight="1" s="215">
      <c r="B75" s="82" t="n">
        <v>64</v>
      </c>
      <c r="C75" s="231" t="inlineStr">
        <is>
          <t>DB-057 – Trigger auditoria_insert_reserva</t>
        </is>
      </c>
      <c r="E75" s="71" t="inlineStr">
        <is>
          <t>x</t>
        </is>
      </c>
      <c r="F75" s="57" t="n"/>
      <c r="G75" s="57" t="n"/>
      <c r="H75" s="57" t="n"/>
      <c r="J75" s="57" t="n"/>
      <c r="K75" s="58" t="n"/>
    </row>
    <row r="76" ht="15.75" customHeight="1" s="215">
      <c r="B76" s="82" t="n">
        <v>65</v>
      </c>
      <c r="C76" s="231" t="inlineStr">
        <is>
          <t>DB-058 – Trigger auditoria_update_reserva</t>
        </is>
      </c>
      <c r="E76" s="71" t="inlineStr">
        <is>
          <t>x</t>
        </is>
      </c>
      <c r="F76" s="57" t="n"/>
      <c r="G76" s="57" t="n"/>
      <c r="H76" s="57" t="n"/>
      <c r="J76" s="57" t="n"/>
      <c r="K76" s="58" t="n"/>
    </row>
    <row r="77" ht="15.75" customHeight="1" s="215">
      <c r="B77" s="82" t="n">
        <v>66</v>
      </c>
      <c r="C77" s="231" t="inlineStr">
        <is>
          <t>DB-059 – Trigger auditoria_delete_reserva</t>
        </is>
      </c>
      <c r="E77" s="71" t="inlineStr">
        <is>
          <t>x</t>
        </is>
      </c>
      <c r="F77" s="57" t="n"/>
      <c r="G77" s="57" t="n"/>
      <c r="H77" s="57" t="n"/>
      <c r="J77" s="57" t="n"/>
      <c r="K77" s="58" t="n"/>
    </row>
    <row r="78" ht="15.75" customHeight="1" s="215">
      <c r="B78" s="82" t="n">
        <v>67</v>
      </c>
      <c r="C78" s="231" t="inlineStr">
        <is>
          <t>DB-060 – Función auditoria_insert_trigger</t>
        </is>
      </c>
      <c r="E78" s="71" t="inlineStr">
        <is>
          <t>x</t>
        </is>
      </c>
      <c r="F78" s="57" t="n"/>
      <c r="G78" s="57" t="n"/>
      <c r="H78" s="57" t="n"/>
      <c r="J78" s="57" t="n"/>
      <c r="K78" s="58" t="n"/>
    </row>
    <row r="79" ht="15.75" customHeight="1" s="215">
      <c r="B79" s="82" t="n">
        <v>68</v>
      </c>
      <c r="C79" s="231" t="inlineStr">
        <is>
          <t>DB-061 – Función auditoria_update_trigger</t>
        </is>
      </c>
      <c r="E79" s="71" t="inlineStr">
        <is>
          <t>x</t>
        </is>
      </c>
      <c r="F79" s="57" t="n"/>
      <c r="G79" s="57" t="n"/>
      <c r="H79" s="57" t="n"/>
      <c r="J79" s="57" t="n"/>
      <c r="K79" s="58" t="n"/>
    </row>
    <row r="80" ht="15.75" customHeight="1" s="215">
      <c r="B80" s="82" t="n">
        <v>69</v>
      </c>
      <c r="C80" s="231" t="inlineStr">
        <is>
          <t>DB-062 – Función auditoria_delete_trigger</t>
        </is>
      </c>
      <c r="E80" s="71" t="inlineStr">
        <is>
          <t>x</t>
        </is>
      </c>
      <c r="F80" s="57" t="n"/>
      <c r="G80" s="57" t="n"/>
      <c r="H80" s="57" t="n"/>
      <c r="J80" s="57" t="n"/>
      <c r="K80" s="58" t="n"/>
    </row>
    <row r="81" ht="15.75" customHeight="1" s="215">
      <c r="B81" s="82" t="n">
        <v>70</v>
      </c>
      <c r="C81" s="231" t="inlineStr">
        <is>
          <t>DB-063 – Función insertar_reserva</t>
        </is>
      </c>
      <c r="E81" s="71" t="inlineStr">
        <is>
          <t>x</t>
        </is>
      </c>
      <c r="F81" s="57" t="n"/>
      <c r="G81" s="57" t="n"/>
      <c r="H81" s="57" t="n"/>
      <c r="J81" s="57" t="n"/>
      <c r="K81" s="58" t="n"/>
    </row>
    <row r="82" ht="15.75" customHeight="1" s="215">
      <c r="B82" s="82" t="n">
        <v>71</v>
      </c>
      <c r="C82" s="231" t="inlineStr">
        <is>
          <t>DB-064 – Función registrar_factura_y_reserva</t>
        </is>
      </c>
      <c r="E82" s="71" t="inlineStr">
        <is>
          <t>x</t>
        </is>
      </c>
      <c r="F82" s="57" t="n"/>
      <c r="G82" s="57" t="n"/>
      <c r="H82" s="57" t="n"/>
      <c r="J82" s="57" t="n"/>
      <c r="K82" s="58" t="n"/>
    </row>
    <row r="83" ht="15.75" customHeight="1" s="215">
      <c r="B83" s="82" t="n">
        <v>72</v>
      </c>
      <c r="C83" s="231" t="inlineStr">
        <is>
          <t>DB-065 – Función confirmar_reserva_por_pago</t>
        </is>
      </c>
      <c r="E83" s="71" t="inlineStr">
        <is>
          <t>x</t>
        </is>
      </c>
      <c r="F83" s="57" t="n"/>
      <c r="G83" s="57" t="n"/>
      <c r="H83" s="57" t="n"/>
      <c r="J83" s="57" t="n"/>
      <c r="K83" s="58" t="n"/>
    </row>
    <row r="84" ht="15.75" customHeight="1" s="215">
      <c r="B84" s="82" t="n">
        <v>73</v>
      </c>
      <c r="C84" s="231" t="inlineStr">
        <is>
          <t>DB-066 – Función update_reservation_status</t>
        </is>
      </c>
      <c r="E84" s="71" t="inlineStr">
        <is>
          <t>x</t>
        </is>
      </c>
      <c r="F84" s="57" t="n"/>
      <c r="G84" s="57" t="n"/>
      <c r="H84" s="57" t="n"/>
      <c r="J84" s="57" t="n"/>
      <c r="K84" s="58" t="n"/>
    </row>
    <row r="85" ht="15.75" customHeight="1" s="215">
      <c r="B85" s="82" t="n">
        <v>74</v>
      </c>
      <c r="C85" s="231" t="inlineStr">
        <is>
          <t>DB-067 – Función get_documento_by_email</t>
        </is>
      </c>
      <c r="E85" s="71" t="inlineStr">
        <is>
          <t>x</t>
        </is>
      </c>
      <c r="F85" s="57" t="n"/>
      <c r="G85" s="57" t="n"/>
      <c r="H85" s="57" t="n"/>
      <c r="J85" s="57" t="n"/>
      <c r="K85" s="58" t="n"/>
    </row>
    <row r="86" ht="15.75" customHeight="1" s="215">
      <c r="B86" s="82" t="n">
        <v>75</v>
      </c>
      <c r="C86" s="231" t="inlineStr">
        <is>
          <t>DB-068 – Función verificar_max_imagenes_referencia</t>
        </is>
      </c>
      <c r="E86" s="71" t="inlineStr">
        <is>
          <t>x</t>
        </is>
      </c>
      <c r="F86" s="57" t="n"/>
      <c r="G86" s="57" t="n"/>
      <c r="H86" s="57" t="n"/>
      <c r="J86" s="57" t="n"/>
      <c r="K86" s="58" t="n"/>
    </row>
    <row r="87" ht="15.75" customHeight="1" s="215">
      <c r="B87" s="82" t="n">
        <v>76</v>
      </c>
      <c r="C87" s="231" t="inlineStr">
        <is>
          <t>DB-069 – Trigger trigger_max_imagenes_ref</t>
        </is>
      </c>
      <c r="E87" s="71" t="inlineStr">
        <is>
          <t>x</t>
        </is>
      </c>
      <c r="F87" s="57" t="n"/>
      <c r="G87" s="57" t="n"/>
      <c r="H87" s="57" t="n"/>
      <c r="J87" s="57" t="n"/>
      <c r="K87" s="58" t="n"/>
    </row>
    <row r="88" ht="15.75" customHeight="1" s="215">
      <c r="B88" s="82" t="n">
        <v>77</v>
      </c>
      <c r="C88" s="231" t="inlineStr">
        <is>
          <t>DB-070 – Función actualizar_updated_at_smtp</t>
        </is>
      </c>
      <c r="E88" s="71" t="inlineStr">
        <is>
          <t>x</t>
        </is>
      </c>
      <c r="F88" s="57" t="n"/>
      <c r="G88" s="57" t="n"/>
      <c r="H88" s="57" t="n"/>
      <c r="J88" s="57" t="n"/>
      <c r="K88" s="58" t="n"/>
    </row>
    <row r="89" ht="15.75" customHeight="1" s="215">
      <c r="B89" s="82" t="n">
        <v>78</v>
      </c>
      <c r="C89" s="231" t="inlineStr">
        <is>
          <t>DB-071 – Función actualizar_updated_at_imap</t>
        </is>
      </c>
      <c r="E89" s="71" t="inlineStr">
        <is>
          <t>x</t>
        </is>
      </c>
      <c r="F89" s="57" t="n"/>
      <c r="G89" s="57" t="n"/>
      <c r="H89" s="57" t="n"/>
      <c r="J89" s="57" t="n"/>
      <c r="K89" s="58" t="n"/>
    </row>
    <row r="90" ht="15.75" customHeight="1" s="215">
      <c r="B90" s="82" t="n">
        <v>79</v>
      </c>
      <c r="C90" s="231" t="inlineStr">
        <is>
          <t>DB-072 – Función validar_admin_tiene_restaurante</t>
        </is>
      </c>
      <c r="E90" s="71" t="inlineStr">
        <is>
          <t>x</t>
        </is>
      </c>
      <c r="F90" s="57" t="n"/>
      <c r="G90" s="57" t="n"/>
      <c r="H90" s="57" t="n"/>
      <c r="J90" s="57" t="n"/>
      <c r="K90" s="58" t="n"/>
    </row>
    <row r="91" ht="15.75" customHeight="1" s="215">
      <c r="B91" s="82" t="n">
        <v>80</v>
      </c>
      <c r="C91" s="231" t="inlineStr">
        <is>
          <t>DB-073 – Trigger trigger_validar_admin_restaurante</t>
        </is>
      </c>
      <c r="E91" s="71" t="inlineStr">
        <is>
          <t>x</t>
        </is>
      </c>
      <c r="F91" s="57" t="n"/>
      <c r="G91" s="57" t="n"/>
      <c r="H91" s="57" t="n"/>
      <c r="J91" s="57" t="n"/>
      <c r="K91" s="58" t="n"/>
    </row>
    <row r="92" ht="15.75" customHeight="1" s="215">
      <c r="B92" s="82" t="n">
        <v>81</v>
      </c>
      <c r="C92" s="231" t="inlineStr">
        <is>
          <t>DB-074 – Función insertar_credenciales</t>
        </is>
      </c>
      <c r="E92" s="71" t="inlineStr">
        <is>
          <t>x</t>
        </is>
      </c>
      <c r="F92" s="57" t="n"/>
      <c r="G92" s="57" t="n"/>
      <c r="H92" s="57" t="n"/>
      <c r="J92" s="57" t="n"/>
      <c r="K92" s="58" t="n"/>
    </row>
    <row r="93" ht="15.75" customHeight="1" s="215">
      <c r="B93" s="82" t="n">
        <v>82</v>
      </c>
      <c r="C93" s="231" t="inlineStr">
        <is>
          <t>DB-075 – Función editar_credenciales</t>
        </is>
      </c>
      <c r="E93" s="71" t="inlineStr">
        <is>
          <t>x</t>
        </is>
      </c>
      <c r="F93" s="57" t="n"/>
      <c r="G93" s="57" t="n"/>
      <c r="H93" s="57" t="n"/>
      <c r="J93" s="57" t="n"/>
      <c r="K93" s="58" t="n"/>
    </row>
    <row r="94" ht="15.75" customHeight="1" s="215">
      <c r="B94" s="82" t="n">
        <v>83</v>
      </c>
      <c r="C94" s="231" t="inlineStr">
        <is>
          <t>DB-076 – Función borrar_credenciales</t>
        </is>
      </c>
      <c r="E94" s="71" t="inlineStr">
        <is>
          <t>x</t>
        </is>
      </c>
      <c r="F94" s="57" t="n"/>
      <c r="G94" s="57" t="n"/>
      <c r="H94" s="57" t="n"/>
      <c r="J94" s="57" t="n"/>
      <c r="K94" s="58" t="n"/>
    </row>
    <row r="95" ht="15.75" customHeight="1" s="215">
      <c r="B95" s="82" t="n">
        <v>84</v>
      </c>
      <c r="C95" s="231" t="inlineStr">
        <is>
          <t>DB-077 – Función insertar_roles</t>
        </is>
      </c>
      <c r="E95" s="71" t="inlineStr">
        <is>
          <t>x</t>
        </is>
      </c>
      <c r="F95" s="57" t="n"/>
      <c r="G95" s="57" t="n"/>
      <c r="H95" s="57" t="n"/>
      <c r="J95" s="57" t="n"/>
      <c r="K95" s="58" t="n"/>
    </row>
    <row r="96" ht="15.75" customHeight="1" s="215">
      <c r="B96" s="82" t="n">
        <v>85</v>
      </c>
      <c r="C96" s="231" t="inlineStr">
        <is>
          <t>DB-078 – Función insertar_restaurante</t>
        </is>
      </c>
      <c r="E96" s="71" t="inlineStr">
        <is>
          <t>x</t>
        </is>
      </c>
      <c r="F96" s="57" t="n"/>
      <c r="G96" s="57" t="n"/>
      <c r="H96" s="57" t="n"/>
      <c r="J96" s="57" t="n"/>
      <c r="K96" s="58" t="n"/>
    </row>
    <row r="97" ht="15.75" customHeight="1" s="215">
      <c r="B97" s="82" t="n">
        <v>86</v>
      </c>
      <c r="C97" s="231" t="inlineStr">
        <is>
          <t>DB-079 – Función insertar_mesas</t>
        </is>
      </c>
      <c r="E97" s="71" t="inlineStr">
        <is>
          <t>x</t>
        </is>
      </c>
      <c r="F97" s="57" t="n"/>
      <c r="G97" s="57" t="n"/>
      <c r="H97" s="57" t="n"/>
      <c r="J97" s="57" t="n"/>
      <c r="K97" s="58" t="n"/>
    </row>
    <row r="98" ht="15.75" customHeight="1" s="215">
      <c r="B98" s="82" t="n">
        <v>87</v>
      </c>
      <c r="C98" s="231" t="inlineStr">
        <is>
          <t>DB-080 – Función insertar_enc_fac</t>
        </is>
      </c>
      <c r="E98" s="71" t="inlineStr">
        <is>
          <t>x</t>
        </is>
      </c>
      <c r="F98" s="57" t="n"/>
      <c r="G98" s="57" t="n"/>
      <c r="H98" s="57" t="n"/>
      <c r="J98" s="57" t="n"/>
      <c r="K98" s="58" t="n"/>
    </row>
    <row r="99" ht="15.75" customHeight="1" s="215">
      <c r="B99" s="82" t="n">
        <v>88</v>
      </c>
      <c r="C99" s="231" t="inlineStr">
        <is>
          <t>DB-081 – Función insertar_detalle_factura</t>
        </is>
      </c>
      <c r="E99" s="71" t="inlineStr">
        <is>
          <t>x</t>
        </is>
      </c>
      <c r="F99" s="57" t="n"/>
      <c r="G99" s="57" t="n"/>
      <c r="H99" s="57" t="n"/>
      <c r="J99" s="57" t="n"/>
      <c r="K99" s="58" t="n"/>
    </row>
    <row r="100" ht="15.75" customHeight="1" s="215">
      <c r="B100" s="82" t="n">
        <v>89</v>
      </c>
      <c r="C100" s="231" t="inlineStr">
        <is>
          <t>DB-082 – Función insertar_comentario</t>
        </is>
      </c>
      <c r="E100" s="71" t="inlineStr">
        <is>
          <t>x</t>
        </is>
      </c>
      <c r="F100" s="57" t="n"/>
      <c r="G100" s="57" t="n"/>
      <c r="H100" s="57" t="n"/>
      <c r="J100" s="57" t="n"/>
      <c r="K100" s="58" t="n"/>
    </row>
    <row r="101" ht="15.75" customHeight="1" s="215">
      <c r="B101" s="82" t="n">
        <v>90</v>
      </c>
      <c r="C101" s="231" t="inlineStr">
        <is>
          <t>DB-083 – Función insertar_calculo_mensual</t>
        </is>
      </c>
      <c r="E101" s="71" t="inlineStr">
        <is>
          <t>x</t>
        </is>
      </c>
      <c r="F101" s="57" t="n"/>
      <c r="G101" s="57" t="n"/>
      <c r="H101" s="57" t="n"/>
      <c r="J101" s="57" t="n"/>
      <c r="K101" s="58" t="n"/>
    </row>
    <row r="102" ht="15.75" customHeight="1" s="215">
      <c r="B102" s="82" t="n">
        <v>91</v>
      </c>
      <c r="C102" s="231" t="inlineStr">
        <is>
          <t>DB-084 – Función list_restaurantes</t>
        </is>
      </c>
      <c r="E102" s="71" t="inlineStr">
        <is>
          <t>x</t>
        </is>
      </c>
      <c r="F102" s="57" t="n"/>
      <c r="G102" s="57" t="n"/>
      <c r="H102" s="57" t="n"/>
      <c r="J102" s="57" t="n"/>
      <c r="K102" s="58" t="n"/>
    </row>
    <row r="103" ht="15.75" customHeight="1" s="215">
      <c r="B103" s="82" t="n">
        <v>92</v>
      </c>
      <c r="C103" s="231" t="inlineStr">
        <is>
          <t>DB-085 – Función get_restaurante_by_nit</t>
        </is>
      </c>
      <c r="E103" s="71" t="inlineStr">
        <is>
          <t>x</t>
        </is>
      </c>
      <c r="F103" s="57" t="n"/>
      <c r="G103" s="57" t="n"/>
      <c r="H103" s="57" t="n"/>
      <c r="J103" s="57" t="n"/>
      <c r="K103" s="58" t="n"/>
    </row>
    <row r="104" ht="15.75" customHeight="1" s="215">
      <c r="B104" s="82" t="n">
        <v>93</v>
      </c>
      <c r="C104" s="231" t="inlineStr">
        <is>
          <t>DB-086 – Función list_mesas</t>
        </is>
      </c>
      <c r="E104" s="71" t="inlineStr">
        <is>
          <t>x</t>
        </is>
      </c>
      <c r="F104" s="57" t="n"/>
      <c r="G104" s="57" t="n"/>
      <c r="H104" s="57" t="n"/>
      <c r="J104" s="57" t="n"/>
      <c r="K104" s="58" t="n"/>
    </row>
    <row r="105" ht="15.75" customHeight="1" s="215">
      <c r="B105" s="82" t="n">
        <v>94</v>
      </c>
      <c r="C105" s="231" t="inlineStr">
        <is>
          <t>DB-087 – Función list_roles</t>
        </is>
      </c>
      <c r="E105" s="71" t="inlineStr">
        <is>
          <t>x</t>
        </is>
      </c>
      <c r="F105" s="57" t="n"/>
      <c r="G105" s="57" t="n"/>
      <c r="H105" s="57" t="n"/>
      <c r="J105" s="57" t="n"/>
      <c r="K105" s="58" t="n"/>
    </row>
    <row r="106" ht="15.75" customHeight="1" s="215">
      <c r="B106" s="82" t="n">
        <v>95</v>
      </c>
      <c r="C106" s="231" t="inlineStr">
        <is>
          <t>DB-088 – Función list_encabezado_factura</t>
        </is>
      </c>
      <c r="E106" s="71" t="inlineStr">
        <is>
          <t>x</t>
        </is>
      </c>
      <c r="F106" s="57" t="n"/>
      <c r="G106" s="57" t="n"/>
      <c r="H106" s="57" t="n"/>
      <c r="J106" s="57" t="n"/>
      <c r="K106" s="58" t="n"/>
    </row>
    <row r="107" ht="15.75" customHeight="1" s="215">
      <c r="B107" s="82" t="n">
        <v>96</v>
      </c>
      <c r="C107" s="231" t="inlineStr">
        <is>
          <t>DB-089 – Función list_reservas</t>
        </is>
      </c>
      <c r="E107" s="71" t="inlineStr">
        <is>
          <t>x</t>
        </is>
      </c>
      <c r="F107" s="57" t="n"/>
      <c r="G107" s="57" t="n"/>
      <c r="H107" s="57" t="n"/>
      <c r="J107" s="57" t="n"/>
      <c r="K107" s="58" t="n"/>
    </row>
    <row r="108" ht="15.75" customHeight="1" s="215">
      <c r="B108" s="82" t="n">
        <v>97</v>
      </c>
      <c r="C108" s="231" t="inlineStr">
        <is>
          <t>DB-090 – Función list_comentarios</t>
        </is>
      </c>
      <c r="E108" s="71" t="inlineStr">
        <is>
          <t>x</t>
        </is>
      </c>
      <c r="F108" s="57" t="n"/>
      <c r="G108" s="57" t="n"/>
      <c r="H108" s="57" t="n"/>
      <c r="J108" s="57" t="n"/>
      <c r="K108" s="58" t="n"/>
    </row>
    <row r="109" ht="15.75" customHeight="1" s="215">
      <c r="B109" s="82" t="n">
        <v>98</v>
      </c>
      <c r="C109" s="231" t="inlineStr">
        <is>
          <t>DB-091 – Función list_calculos_mensuales</t>
        </is>
      </c>
      <c r="E109" s="71" t="inlineStr">
        <is>
          <t>x</t>
        </is>
      </c>
      <c r="F109" s="57" t="n"/>
      <c r="G109" s="57" t="n"/>
      <c r="H109" s="57" t="n"/>
      <c r="J109" s="57" t="n"/>
      <c r="K109" s="58" t="n"/>
    </row>
    <row r="110" ht="15.75" customHeight="1" s="215">
      <c r="B110" s="82" t="n">
        <v>99</v>
      </c>
      <c r="C110" s="231" t="inlineStr">
        <is>
          <t>DB-092 – ON DELETE CASCADE en Mesas.nit</t>
        </is>
      </c>
      <c r="E110" s="71" t="inlineStr">
        <is>
          <t>x</t>
        </is>
      </c>
      <c r="F110" s="57" t="n"/>
      <c r="G110" s="57" t="n"/>
      <c r="H110" s="57" t="n"/>
      <c r="J110" s="57" t="n"/>
      <c r="K110" s="58" t="n"/>
    </row>
    <row r="111" ht="15.75" customHeight="1" s="215">
      <c r="B111" s="82" t="n">
        <v>100</v>
      </c>
      <c r="C111" s="231" t="inlineStr">
        <is>
          <t>DB-093 – ON DELETE CASCADE en Reserva.id_mesa</t>
        </is>
      </c>
      <c r="E111" s="71" t="inlineStr">
        <is>
          <t>x</t>
        </is>
      </c>
      <c r="F111" s="57" t="n"/>
      <c r="G111" s="57" t="n"/>
      <c r="H111" s="57" t="n"/>
      <c r="J111" s="57" t="n"/>
      <c r="K111" s="58" t="n"/>
    </row>
    <row r="112" ht="15.75" customHeight="1" s="215">
      <c r="B112" s="82" t="n">
        <v>101</v>
      </c>
      <c r="C112" s="231" t="inlineStr">
        <is>
          <t>DB-094 – ON DELETE CASCADE en Reserva.id_encab_fact</t>
        </is>
      </c>
      <c r="E112" s="71" t="inlineStr">
        <is>
          <t>x</t>
        </is>
      </c>
      <c r="F112" s="57" t="n"/>
      <c r="G112" s="57" t="n"/>
      <c r="H112" s="57" t="n"/>
      <c r="J112" s="57" t="n"/>
      <c r="K112" s="58" t="n"/>
    </row>
    <row r="113" ht="15.75" customHeight="1" s="215">
      <c r="B113" s="82" t="n">
        <v>102</v>
      </c>
      <c r="C113" s="231" t="inlineStr">
        <is>
          <t>DB-095 – Columna Encabezado_Factura.fecha con CHECK de rango</t>
        </is>
      </c>
      <c r="E113" s="71" t="inlineStr">
        <is>
          <t>x</t>
        </is>
      </c>
      <c r="F113" s="57" t="n"/>
      <c r="G113" s="57" t="n"/>
      <c r="H113" s="57" t="n"/>
      <c r="J113" s="57" t="n"/>
      <c r="K113" s="58" t="n"/>
    </row>
    <row r="114" ht="15.75" customHeight="1" s="215">
      <c r="B114" s="82" t="n">
        <v>103</v>
      </c>
      <c r="C114" s="231" t="inlineStr">
        <is>
          <t>DB-096 – Trigger auditoria_insert_restaurante</t>
        </is>
      </c>
      <c r="E114" s="71" t="inlineStr">
        <is>
          <t>x</t>
        </is>
      </c>
      <c r="F114" s="57" t="n"/>
      <c r="G114" s="57" t="n"/>
      <c r="H114" s="57" t="n"/>
      <c r="J114" s="57" t="n"/>
      <c r="K114" s="58" t="n"/>
    </row>
    <row r="115" ht="15.75" customHeight="1" s="215">
      <c r="B115" s="82" t="n">
        <v>104</v>
      </c>
      <c r="C115" s="231" t="inlineStr">
        <is>
          <t>DB-097 – Trigger auditoria_insert_mesas</t>
        </is>
      </c>
      <c r="E115" s="71" t="inlineStr">
        <is>
          <t>x</t>
        </is>
      </c>
      <c r="F115" s="57" t="n"/>
      <c r="G115" s="57" t="n"/>
      <c r="H115" s="57" t="n"/>
      <c r="J115" s="57" t="n"/>
      <c r="K115" s="58" t="n"/>
    </row>
    <row r="116" ht="15.75" customHeight="1" s="215">
      <c r="B116" s="82" t="n">
        <v>105</v>
      </c>
      <c r="C116" s="231" t="inlineStr">
        <is>
          <t>DB-098 – Trigger auditoria_insert_usuario</t>
        </is>
      </c>
      <c r="E116" s="71" t="inlineStr">
        <is>
          <t>x</t>
        </is>
      </c>
      <c r="F116" s="57" t="n"/>
      <c r="G116" s="57" t="n"/>
      <c r="H116" s="57" t="n"/>
      <c r="J116" s="57" t="n"/>
      <c r="K116" s="58" t="n"/>
    </row>
    <row r="117" ht="15.75" customHeight="1" s="215">
      <c r="B117" s="82" t="n">
        <v>106</v>
      </c>
      <c r="C117" s="231" t="inlineStr">
        <is>
          <t>DB-099 – Trigger auditoria_insert_encabezado_factura</t>
        </is>
      </c>
      <c r="E117" s="71" t="inlineStr">
        <is>
          <t>x</t>
        </is>
      </c>
      <c r="F117" s="57" t="n"/>
      <c r="G117" s="57" t="n"/>
      <c r="H117" s="57" t="n"/>
      <c r="J117" s="57" t="n"/>
      <c r="K117" s="58" t="n"/>
    </row>
    <row r="118" ht="15.75" customHeight="1" s="215">
      <c r="B118" s="82" t="n">
        <v>107</v>
      </c>
      <c r="C118" s="231" t="inlineStr">
        <is>
          <t>DB-100 – Índice idx_mails_credencial_uid</t>
        </is>
      </c>
      <c r="E118" s="71" t="inlineStr">
        <is>
          <t>x</t>
        </is>
      </c>
      <c r="F118" s="57" t="n"/>
      <c r="G118" s="57" t="n"/>
      <c r="H118" s="57" t="n"/>
      <c r="J118" s="57" t="n"/>
      <c r="K118" s="58" t="n"/>
    </row>
    <row r="119" ht="15.75" customHeight="1" s="215">
      <c r="B119" s="82" t="n">
        <v>108</v>
      </c>
      <c r="C119" s="231" t="inlineStr">
        <is>
          <t>DB-101 – Índice idx_mails_id_credencial_date</t>
        </is>
      </c>
      <c r="E119" s="71" t="inlineStr">
        <is>
          <t>x</t>
        </is>
      </c>
      <c r="F119" s="57" t="n"/>
      <c r="G119" s="57" t="n"/>
      <c r="H119" s="57" t="n"/>
      <c r="J119" s="57" t="n"/>
      <c r="K119" s="58" t="n"/>
    </row>
    <row r="120" ht="15.75" customHeight="1" s="215">
      <c r="B120" s="82" t="n">
        <v>109</v>
      </c>
      <c r="C120" s="231" t="inlineStr">
        <is>
          <t>DB-102 – Función list_usuarios</t>
        </is>
      </c>
      <c r="E120" s="71" t="inlineStr">
        <is>
          <t>x</t>
        </is>
      </c>
      <c r="F120" s="57" t="n"/>
      <c r="G120" s="57" t="n"/>
      <c r="H120" s="57" t="n"/>
      <c r="J120" s="57" t="n"/>
      <c r="K120" s="58" t="n"/>
    </row>
    <row r="121" ht="15.75" customHeight="1" s="215">
      <c r="B121" s="82" t="n">
        <v>110</v>
      </c>
      <c r="C121" s="231" t="inlineStr">
        <is>
          <t>DB-103 – Función get_reserva_by_id</t>
        </is>
      </c>
      <c r="E121" s="71" t="inlineStr">
        <is>
          <t>x</t>
        </is>
      </c>
      <c r="F121" s="57" t="n"/>
      <c r="G121" s="57" t="n"/>
      <c r="H121" s="57" t="n"/>
      <c r="J121" s="57" t="n"/>
      <c r="K121" s="58" t="n"/>
    </row>
    <row r="122" ht="15.75" customHeight="1" s="215">
      <c r="B122" s="82" t="n">
        <v>111</v>
      </c>
      <c r="C122" s="231" t="inlineStr">
        <is>
          <t>DB-104 – Función get_encabezado_factura_by_id</t>
        </is>
      </c>
      <c r="E122" s="71" t="inlineStr">
        <is>
          <t>x</t>
        </is>
      </c>
      <c r="F122" s="57" t="n"/>
      <c r="G122" s="57" t="n"/>
      <c r="H122" s="57" t="n"/>
      <c r="J122" s="57" t="n"/>
      <c r="K122" s="58" t="n"/>
    </row>
    <row r="123" ht="15.75" customHeight="1" s="215">
      <c r="B123" s="82" t="n">
        <v>112</v>
      </c>
      <c r="C123" s="231" t="inlineStr">
        <is>
          <t>DB-105 – Función editar_reserva</t>
        </is>
      </c>
      <c r="E123" s="71" t="inlineStr">
        <is>
          <t>x</t>
        </is>
      </c>
      <c r="F123" s="57" t="n"/>
      <c r="G123" s="57" t="n"/>
      <c r="H123" s="57" t="n"/>
      <c r="J123" s="57" t="n"/>
      <c r="K123" s="58" t="n"/>
    </row>
    <row r="124" ht="15.75" customHeight="1" s="215">
      <c r="B124" s="82" t="n">
        <v>113</v>
      </c>
      <c r="C124" s="231" t="inlineStr">
        <is>
          <t>DB-106 – Función borrar_reserva</t>
        </is>
      </c>
      <c r="E124" s="71" t="inlineStr">
        <is>
          <t>x</t>
        </is>
      </c>
      <c r="F124" s="57" t="n"/>
      <c r="G124" s="57" t="n"/>
      <c r="H124" s="57" t="n"/>
      <c r="J124" s="57" t="n"/>
      <c r="K124" s="58" t="n"/>
    </row>
    <row r="125" ht="15.75" customHeight="1" s="215">
      <c r="B125" s="82" t="n">
        <v>114</v>
      </c>
      <c r="C125" s="231" t="inlineStr">
        <is>
          <t>DB-107 – Función insertar_dueno</t>
        </is>
      </c>
      <c r="E125" s="71" t="inlineStr">
        <is>
          <t>x</t>
        </is>
      </c>
      <c r="F125" s="57" t="n"/>
      <c r="G125" s="57" t="n"/>
      <c r="H125" s="57" t="n"/>
      <c r="J125" s="57" t="n"/>
      <c r="K125" s="58" t="n"/>
    </row>
    <row r="126" ht="15.75" customHeight="1" s="215">
      <c r="B126" s="82" t="n">
        <v>115</v>
      </c>
      <c r="C126" s="231" t="inlineStr">
        <is>
          <t>DB-108 – Función insertar_empleado</t>
        </is>
      </c>
      <c r="E126" s="71" t="inlineStr">
        <is>
          <t>x</t>
        </is>
      </c>
      <c r="F126" s="57" t="n"/>
      <c r="G126" s="57" t="n"/>
      <c r="H126" s="57" t="n"/>
      <c r="J126" s="57" t="n"/>
      <c r="K126" s="58" t="n"/>
    </row>
    <row r="127" ht="15.75" customHeight="1" s="215">
      <c r="B127" s="82" t="n">
        <v>116</v>
      </c>
      <c r="C127" s="231" t="inlineStr">
        <is>
          <t>DB-109 – Función insertar_clientes</t>
        </is>
      </c>
      <c r="E127" s="71" t="inlineStr">
        <is>
          <t>x</t>
        </is>
      </c>
      <c r="F127" s="57" t="n"/>
      <c r="G127" s="57" t="n"/>
      <c r="H127" s="57" t="n"/>
      <c r="J127" s="57" t="n"/>
      <c r="K127" s="58" t="n"/>
    </row>
    <row r="128" ht="15.75" customHeight="1" s="215">
      <c r="B128" s="82" t="n">
        <v>117</v>
      </c>
      <c r="C128" s="231" t="inlineStr">
        <is>
          <t>DB-110 – Función insertar_usuario</t>
        </is>
      </c>
      <c r="E128" s="71" t="inlineStr">
        <is>
          <t>x</t>
        </is>
      </c>
      <c r="F128" s="57" t="n"/>
      <c r="G128" s="57" t="n"/>
      <c r="H128" s="57" t="n"/>
      <c r="J128" s="57" t="n"/>
      <c r="K128" s="58" t="n"/>
    </row>
    <row r="129" ht="15.75" customHeight="1" s="215">
      <c r="B129" s="82" t="n">
        <v>118</v>
      </c>
      <c r="C129" s="231" t="inlineStr">
        <is>
          <t>DB-019 – CRUD de restaurantes, mesas y reservas</t>
        </is>
      </c>
      <c r="E129" s="71" t="inlineStr">
        <is>
          <t>x</t>
        </is>
      </c>
      <c r="F129" s="57" t="n"/>
      <c r="G129" s="57" t="n"/>
      <c r="H129" s="57" t="n"/>
      <c r="J129" s="57" t="n"/>
      <c r="K129" s="58" t="n"/>
    </row>
    <row r="130" ht="15.75" customHeight="1" s="215">
      <c r="B130" s="82" t="n">
        <v>119</v>
      </c>
      <c r="C130" s="231" t="inlineStr">
        <is>
          <t>DB-020 – CRUD de facturación (encabezado y detalle)</t>
        </is>
      </c>
      <c r="E130" s="71" t="inlineStr">
        <is>
          <t>x</t>
        </is>
      </c>
      <c r="F130" s="57" t="n"/>
      <c r="G130" s="57" t="n"/>
      <c r="H130" s="57" t="n"/>
      <c r="J130" s="57" t="n"/>
      <c r="K130" s="58" t="n"/>
    </row>
    <row r="131" ht="15.75" customHeight="1" s="215">
      <c r="B131" s="82" t="n">
        <v>120</v>
      </c>
      <c r="C131" s="231" t="inlineStr">
        <is>
          <t>DB-021 – CRUD de comentarios y cálculos mensuales</t>
        </is>
      </c>
      <c r="E131" s="71" t="inlineStr">
        <is>
          <t>x</t>
        </is>
      </c>
      <c r="F131" s="57" t="n"/>
      <c r="G131" s="57" t="n"/>
      <c r="H131" s="57" t="n"/>
      <c r="J131" s="57" t="n"/>
      <c r="K131" s="58" t="n"/>
    </row>
    <row r="132" ht="15.75" customHeight="1" s="215">
      <c r="B132" s="82" t="n">
        <v>121</v>
      </c>
      <c r="C132" s="231" t="inlineStr">
        <is>
          <t>DB-111 – Columna jwt_tokens.revoked para invalidar sesiones</t>
        </is>
      </c>
      <c r="E132" s="71" t="inlineStr">
        <is>
          <t>x</t>
        </is>
      </c>
      <c r="F132" s="57" t="n"/>
      <c r="G132" s="57" t="n"/>
      <c r="H132" s="57" t="n"/>
      <c r="J132" s="57" t="n"/>
      <c r="K132" s="58" t="n"/>
    </row>
    <row r="133" ht="15.75" customHeight="1" s="215">
      <c r="B133" s="82" t="n">
        <v>122</v>
      </c>
      <c r="C133" s="231" t="inlineStr">
        <is>
          <t>DB-112 – Función editar_credenciales (SQL) invocada desde backend</t>
        </is>
      </c>
      <c r="E133" s="71" t="inlineStr">
        <is>
          <t>x</t>
        </is>
      </c>
      <c r="F133" s="57" t="n"/>
      <c r="G133" s="57" t="n"/>
      <c r="H133" s="57" t="n"/>
      <c r="J133" s="57" t="n"/>
      <c r="K133" s="58" t="n"/>
    </row>
    <row r="134" ht="15.75" customHeight="1" s="215">
      <c r="B134" s="82" t="n">
        <v>123</v>
      </c>
      <c r="C134" s="231" t="inlineStr">
        <is>
          <t>DB-113 – Auditoría por usuario final en tabla Auditoria_Usuario</t>
        </is>
      </c>
      <c r="E134" s="71" t="inlineStr">
        <is>
          <t>x</t>
        </is>
      </c>
      <c r="F134" s="57" t="n"/>
      <c r="G134" s="57" t="n"/>
      <c r="H134" s="57" t="n"/>
      <c r="J134" s="57" t="n"/>
      <c r="K134" s="58" t="n"/>
    </row>
    <row r="135" ht="15.75" customHeight="1" s="215">
      <c r="B135" s="82" t="n">
        <v>124</v>
      </c>
      <c r="C135" s="231" t="inlineStr">
        <is>
          <t>DB-114 – Tabla Auditoria_Usuario (auditoría por usuario final de la aplicación)</t>
        </is>
      </c>
      <c r="E135" s="71" t="inlineStr">
        <is>
          <t>x</t>
        </is>
      </c>
      <c r="F135" s="57" t="n"/>
      <c r="G135" s="57" t="n"/>
      <c r="H135" s="57" t="n"/>
      <c r="J135" s="57" t="n"/>
      <c r="K135" s="58" t="n"/>
    </row>
    <row r="136" ht="15.75" customHeight="1" s="215">
      <c r="B136" s="82" t="n">
        <v>125</v>
      </c>
      <c r="C136" s="231" t="inlineStr">
        <is>
          <t>DB-115 – Columna Mesas.restaurante_uid (FK además de nit)</t>
        </is>
      </c>
      <c r="E136" s="71" t="inlineStr">
        <is>
          <t>x</t>
        </is>
      </c>
      <c r="F136" s="57" t="n"/>
      <c r="G136" s="57" t="n"/>
      <c r="H136" s="57" t="n"/>
      <c r="J136" s="57" t="n"/>
      <c r="K136" s="58" t="n"/>
    </row>
    <row r="137" ht="15.75" customHeight="1" s="215">
      <c r="B137" s="82" t="n">
        <v>126</v>
      </c>
      <c r="C137" s="231" t="inlineStr">
        <is>
          <t>DB-116 – Triggers de auditoría en Roles, Categorias, Imagen_referencia_restaurante, jwt_tokens, Password_Reset_Codes, SMTP_config, IMAP_config y Mails</t>
        </is>
      </c>
      <c r="E137" s="71" t="inlineStr">
        <is>
          <t>x</t>
        </is>
      </c>
      <c r="F137" s="57" t="n"/>
      <c r="G137" s="57" t="n"/>
      <c r="H137" s="57" t="n"/>
      <c r="J137" s="57" t="n"/>
      <c r="K137" s="58" t="n"/>
    </row>
    <row r="138" ht="15.75" customHeight="1" s="215">
      <c r="B138" s="70" t="n">
        <v>127</v>
      </c>
      <c r="C138" s="84" t="inlineStr">
        <is>
          <t>P-DB-09 – Reglas completas descritas en textos muy específicos (confirmaciones de interfaz, mensajes de error amigables, alertas por correo, versión histórica antes/después para cada cambio, etc.)</t>
        </is>
      </c>
      <c r="E138" s="57" t="n"/>
      <c r="F138" s="71" t="n"/>
      <c r="G138" s="71" t="inlineStr">
        <is>
          <t>x</t>
        </is>
      </c>
      <c r="H138" s="71" t="n"/>
    </row>
    <row r="139" ht="15.75" customHeight="1" s="215">
      <c r="B139" s="70" t="n">
        <v>128</v>
      </c>
      <c r="C139" s="84" t="inlineStr">
        <is>
          <t>DB-111 – Columna jwt_tokens.revoked para invalidar sesiones</t>
        </is>
      </c>
      <c r="E139" s="57" t="inlineStr">
        <is>
          <t>x</t>
        </is>
      </c>
      <c r="F139" s="57" t="n"/>
      <c r="G139" s="57" t="n"/>
      <c r="H139" s="57" t="n"/>
    </row>
    <row r="140" ht="15.75" customHeight="1" s="215">
      <c r="B140" s="70" t="n">
        <v>129</v>
      </c>
      <c r="C140" s="81" t="inlineStr">
        <is>
          <t>DB-112 – Función editar_credenciales (SQL) invocada desde backend</t>
        </is>
      </c>
      <c r="E140" s="71" t="inlineStr">
        <is>
          <t>x</t>
        </is>
      </c>
      <c r="F140" s="71" t="n"/>
      <c r="G140" s="71" t="n"/>
      <c r="H140" s="71" t="n"/>
    </row>
    <row r="141" ht="15.75" customHeight="1" s="215">
      <c r="B141" s="70" t="n">
        <v>130</v>
      </c>
      <c r="C141" s="30" t="inlineStr">
        <is>
          <t>DB-113 – Auditoría de tablas del sistema</t>
        </is>
      </c>
      <c r="E141" s="57" t="inlineStr">
        <is>
          <t>x</t>
        </is>
      </c>
      <c r="F141" s="57" t="n"/>
      <c r="G141" s="57" t="n"/>
      <c r="H141" s="57" t="n"/>
    </row>
    <row r="142" ht="15.75" customHeight="1" s="215">
      <c r="B142" s="70" t="n">
        <v>131</v>
      </c>
      <c r="C142" s="30" t="inlineStr">
        <is>
          <t>DB-114 – Tabla Auditoria_Usuario (auditoría por usuario final de la aplicación)</t>
        </is>
      </c>
      <c r="E142" s="57" t="inlineStr">
        <is>
          <t>x</t>
        </is>
      </c>
      <c r="F142" s="57" t="n"/>
      <c r="G142" s="57" t="n"/>
      <c r="H142" s="57" t="n"/>
    </row>
    <row r="143" ht="18.75" customHeight="1" s="215"/>
    <row r="144" ht="37.5" customHeight="1" s="215"/>
    <row r="145" ht="37.5" customHeight="1" s="215"/>
    <row r="146" ht="37.5" customHeight="1" s="215"/>
    <row r="147" ht="18.75" customHeight="1" s="215"/>
    <row r="148" ht="37.5" customHeight="1" s="215"/>
    <row r="149" ht="37.5" customHeight="1" s="215"/>
    <row r="150" ht="75" customHeight="1" s="215"/>
    <row r="151" ht="37.5" customHeight="1" s="215"/>
    <row r="152" ht="18.75" customHeight="1" s="215"/>
    <row r="153" ht="37.5" customHeight="1" s="215"/>
    <row r="154" ht="37.5" customHeight="1" s="215"/>
    <row r="155" ht="37.5" customHeight="1" s="215"/>
    <row r="156" ht="37.5" customHeight="1" s="215"/>
    <row r="157" ht="37.5" customHeight="1" s="215"/>
    <row r="158" ht="37.5" customHeight="1" s="215"/>
    <row r="159" ht="37.5" customHeight="1" s="215"/>
    <row r="160" ht="37.5" customHeight="1" s="215"/>
    <row r="161" ht="37.5" customHeight="1" s="215"/>
    <row r="162" ht="37.5" customHeight="1" s="215"/>
    <row r="163" ht="56.25" customHeight="1" s="215"/>
    <row r="164" ht="37.5" customHeight="1" s="215"/>
    <row r="165" ht="37.5" customHeight="1" s="215"/>
    <row r="166" ht="37.5" customHeight="1" s="215"/>
    <row r="167" ht="18.75" customHeight="1" s="215"/>
    <row r="168" ht="37.5" customHeight="1" s="215"/>
    <row r="169" ht="37.5" customHeight="1" s="215"/>
    <row r="170" ht="37.5" customHeight="1" s="215"/>
    <row r="171" ht="37.5" customHeight="1" s="215"/>
    <row r="172" ht="37.5" customHeight="1" s="215"/>
    <row r="173" ht="18.75" customHeight="1" s="215"/>
    <row r="174" ht="56.25" customHeight="1" s="215"/>
    <row r="175" ht="37.5" customHeight="1" s="215"/>
    <row r="176" ht="37.5" customHeight="1" s="215"/>
    <row r="177" ht="18.75" customHeight="1" s="215"/>
    <row r="178" ht="37.5" customHeight="1" s="215"/>
    <row r="179" ht="37.5" customHeight="1" s="215"/>
    <row r="180" ht="37.5" customHeight="1" s="215"/>
    <row r="181" ht="37.5" customHeight="1" s="215"/>
    <row r="182" ht="18.75" customHeight="1" s="215"/>
    <row r="183" ht="37.5" customHeight="1" s="215"/>
    <row r="184" ht="37.5" customHeight="1" s="215"/>
    <row r="185" ht="37.5" customHeight="1" s="215"/>
    <row r="186" ht="37.5" customHeight="1" s="215"/>
    <row r="187" ht="37.5" customHeight="1" s="215"/>
    <row r="188" ht="18.75" customHeight="1" s="215"/>
    <row r="189" ht="37.5" customHeight="1" s="215"/>
    <row r="190" ht="37.5" customHeight="1" s="215"/>
    <row r="191" ht="37.5" customHeight="1" s="215"/>
    <row r="192" ht="37.5" customHeight="1" s="215"/>
    <row r="193" ht="18.75" customHeight="1" s="215"/>
    <row r="194" ht="37.5" customHeight="1" s="215"/>
    <row r="195" ht="37.5" customHeight="1" s="215"/>
    <row r="196" ht="37.5" customHeight="1" s="215"/>
    <row r="197" ht="18.75" customHeight="1" s="215"/>
    <row r="198" ht="18.75" customHeight="1" s="215"/>
    <row r="199" ht="37.5" customHeight="1" s="215"/>
    <row r="200" ht="18.75" customHeight="1" s="215"/>
    <row r="201" ht="18.75" customHeight="1" s="215"/>
    <row r="202" ht="37.5" customHeight="1" s="215"/>
    <row r="203" ht="37.5" customHeight="1" s="215"/>
    <row r="204" ht="18.75" customHeight="1" s="215"/>
    <row r="205" ht="37.5" customHeight="1" s="215"/>
    <row r="206" ht="37.5" customHeight="1" s="215"/>
    <row r="207" ht="37.5" customHeight="1" s="215"/>
    <row r="208" ht="18.75" customHeight="1" s="215"/>
    <row r="209" ht="37.5" customHeight="1" s="215"/>
    <row r="210" ht="37.5" customHeight="1" s="215"/>
    <row r="211" ht="37.5" customHeight="1" s="215"/>
    <row r="212" ht="37.5" customHeight="1" s="215"/>
    <row r="213" ht="37.5" customHeight="1" s="215"/>
    <row r="214" ht="37.5" customHeight="1" s="215"/>
    <row r="215" ht="18.75" customHeight="1" s="215"/>
    <row r="216" ht="37.5" customHeight="1" s="215"/>
    <row r="217" ht="37.5" customHeight="1" s="215"/>
    <row r="218" ht="37.5" customHeight="1" s="215"/>
    <row r="219" ht="37.5" customHeight="1" s="215"/>
    <row r="220" ht="37.5" customHeight="1" s="215"/>
    <row r="221" ht="37.5" customHeight="1" s="215"/>
    <row r="222" ht="37.5" customHeight="1" s="215"/>
    <row r="223" ht="37.5" customHeight="1" s="215"/>
    <row r="224" ht="37.5" customHeight="1" s="215"/>
    <row r="225" ht="37.5" customHeight="1" s="215"/>
    <row r="226" ht="37.5" customHeight="1" s="215"/>
    <row r="227" ht="18.75" customHeight="1" s="215"/>
    <row r="228" ht="37.5" customHeight="1" s="215"/>
    <row r="229" ht="18.75" customHeight="1" s="215"/>
    <row r="230" ht="37.5" customHeight="1" s="215"/>
    <row r="231" ht="18.75" customHeight="1" s="215"/>
    <row r="232" ht="37.5" customHeight="1" s="215"/>
    <row r="233" ht="37.5" customHeight="1" s="215"/>
    <row r="234" ht="18.75" customHeight="1" s="215"/>
    <row r="235" ht="37.5" customHeight="1" s="215"/>
    <row r="236" ht="37.5" customHeight="1" s="215"/>
    <row r="237" ht="37.5" customHeight="1" s="215"/>
    <row r="238" ht="37.5" customHeight="1" s="215"/>
    <row r="239" ht="37.5" customHeight="1" s="215"/>
    <row r="240" ht="37.5" customHeight="1" s="215"/>
    <row r="241" ht="37.5" customHeight="1" s="215"/>
    <row r="242" ht="18.75" customHeight="1" s="215"/>
    <row r="243" ht="37.5" customHeight="1" s="215"/>
    <row r="244" ht="37.5" customHeight="1" s="215"/>
    <row r="245" ht="37.5" customHeight="1" s="215"/>
    <row r="246" ht="37.5" customHeight="1" s="215"/>
    <row r="247" ht="37.5" customHeight="1" s="215"/>
    <row r="248" ht="37.5" customHeight="1" s="215"/>
    <row r="249" ht="37.5" customHeight="1" s="215"/>
    <row r="250" ht="37.5" customHeight="1" s="215"/>
    <row r="251" ht="37.5" customHeight="1" s="215"/>
    <row r="252" ht="37.5" customHeight="1" s="215"/>
    <row r="253" ht="18.75" customHeight="1" s="215"/>
    <row r="254" ht="18.75" customHeight="1" s="215"/>
    <row r="255" ht="37.5" customHeight="1" s="215"/>
    <row r="256" ht="18.75" customHeight="1" s="215"/>
    <row r="257" ht="37.5" customHeight="1" s="215"/>
    <row r="258" ht="37.5" customHeight="1" s="215"/>
    <row r="259" ht="37.5" customHeight="1" s="215"/>
    <row r="260" ht="37.5" customHeight="1" s="215"/>
    <row r="261" ht="37.5" customHeight="1" s="215"/>
    <row r="262" ht="37.5" customHeight="1" s="215"/>
    <row r="263" ht="37.5" customHeight="1" s="215"/>
    <row r="264" ht="18.75" customHeight="1" s="215"/>
    <row r="265" ht="18.75" customHeight="1" s="215"/>
    <row r="266" ht="37.5" customHeight="1" s="215"/>
    <row r="267" ht="18.75" customHeight="1" s="215"/>
    <row r="268" ht="37.5" customHeight="1" s="215"/>
    <row r="269" ht="37.5" customHeight="1" s="215"/>
    <row r="270" ht="37.5" customHeight="1" s="215"/>
    <row r="271" ht="37.5" customHeight="1" s="215"/>
    <row r="272" ht="18.75" customHeight="1" s="215"/>
    <row r="273" ht="37.5" customHeight="1" s="215"/>
    <row r="274" ht="37.5" customHeight="1" s="215"/>
    <row r="275" ht="37.5" customHeight="1" s="215"/>
    <row r="276" ht="18.75" customHeight="1" s="215"/>
    <row r="277" ht="37.5" customHeight="1" s="215"/>
    <row r="278" ht="37.5" customHeight="1" s="215"/>
    <row r="279" ht="37.5" customHeight="1" s="215"/>
    <row r="280" ht="18.75" customHeight="1" s="215"/>
    <row r="281" ht="37.5" customHeight="1" s="215"/>
    <row r="282" ht="37.5" customHeight="1" s="215"/>
    <row r="283" ht="37.5" customHeight="1" s="215"/>
    <row r="284" ht="37.5" customHeight="1" s="215"/>
    <row r="285" ht="18.75" customHeight="1" s="215"/>
    <row r="286" ht="37.5" customHeight="1" s="215"/>
    <row r="287" ht="18.75" customHeight="1" s="215"/>
    <row r="288" ht="56.25" customHeight="1" s="215"/>
    <row r="289" ht="18.75" customHeight="1" s="215"/>
    <row r="290" ht="37.5" customHeight="1" s="215"/>
    <row r="291" ht="18.75" customHeight="1" s="215"/>
    <row r="292" ht="56.25" customHeight="1" s="215"/>
    <row r="293" ht="18.75" customHeight="1" s="215"/>
    <row r="294" ht="18.75" customHeight="1" s="215"/>
    <row r="295" ht="18.75" customHeight="1" s="215"/>
    <row r="296" ht="37.5" customHeight="1" s="215"/>
    <row r="297" ht="37.5" customHeight="1" s="215"/>
    <row r="298" ht="18.75" customHeight="1" s="215"/>
    <row r="299" ht="37.5" customHeight="1" s="215"/>
    <row r="300" ht="56.25" customHeight="1" s="215"/>
    <row r="301" ht="37.5" customHeight="1" s="215"/>
    <row r="302" ht="37.5" customHeight="1" s="215"/>
    <row r="303" ht="37.5" customHeight="1" s="215">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37.5" customHeight="1" s="215">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37.5" customHeight="1" s="215">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37.5" customHeight="1" s="215">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37.5" customHeight="1" s="215">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37.5" customHeight="1" s="215">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37.5" customHeight="1" s="215">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37.5" customHeight="1" s="215">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37.5" customHeight="1" s="215">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37.5" customHeight="1" s="215">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37.5" customHeight="1" s="215">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37.5" customHeight="1" s="215">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37.5" customHeight="1" s="215">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37.5" customHeight="1" s="215">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37.5" customHeight="1" s="215">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37.5" customHeight="1" s="215">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37.5" customHeight="1" s="215">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37.5" customHeight="1" s="215">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37.5" customHeight="1" s="215">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37.5" customHeight="1" s="215">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37.5" customHeight="1" s="215">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37.5" customHeight="1" s="215">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37.5" customHeight="1" s="215">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8.75" customHeight="1" s="215">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37.5" customHeight="1" s="215">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37.5" customHeight="1" s="215">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37.5" customHeight="1" s="215">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37.5" customHeight="1" s="215">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37.5" customHeight="1" s="215">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37.5" customHeight="1" s="215">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8.75" customHeight="1" s="215">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37.5" customHeight="1" s="215">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37.5" customHeight="1" s="215">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37.5" customHeight="1" s="215">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37.5" customHeight="1" s="215">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37.5" customHeight="1" s="215">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37.5" customHeight="1" s="215">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37.5" customHeight="1" s="215">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37.5" customHeight="1" s="215">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8.75" customHeight="1" s="215">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5.75" customHeight="1" s="215">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5.75" customHeight="1" s="215">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5.75" customHeight="1" s="215">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5.75" customHeight="1" s="215">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5.75" customHeight="1" s="215">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5.75" customHeight="1" s="215">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5.75" customHeight="1" s="215">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5.75" customHeight="1" s="215">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5.75" customHeight="1" s="215">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5.75" customHeight="1" s="215">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5.75" customHeight="1" s="215">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5.75" customHeight="1" s="215">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5.75" customHeight="1" s="215">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5.75" customHeight="1" s="215">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5.75" customHeight="1" s="215">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5.75" customHeight="1" s="215">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5.75" customHeight="1" s="215">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5.75" customHeight="1" s="215">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5.75" customHeight="1" s="215">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5.75" customHeight="1" s="215">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5.75" customHeight="1" s="215">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5.75" customHeight="1" s="215">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5.75" customHeight="1" s="215">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5.75" customHeight="1" s="215">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5.75" customHeight="1" s="215">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5.75" customHeight="1" s="215">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5.75" customHeight="1" s="215">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5.75" customHeight="1" s="215">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5.75" customHeight="1" s="215">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5.75" customHeight="1" s="215">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5.75" customHeight="1" s="215">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5.75" customHeight="1" s="215">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5.75" customHeight="1" s="215">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5.75" customHeight="1" s="215">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5.75" customHeight="1" s="215">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5.75" customHeight="1" s="215">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5.75" customHeight="1" s="215">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5.75" customHeight="1" s="215">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5.75" customHeight="1" s="215">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5.75" customHeight="1" s="215">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5.75" customHeight="1" s="215">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5.75" customHeight="1" s="215">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5.75" customHeight="1" s="215">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5.75" customHeight="1" s="215">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5.75" customHeight="1" s="215">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5.75" customHeight="1" s="215">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5.75" customHeight="1" s="215"/>
    <row r="390" ht="15.75" customHeight="1" s="215"/>
    <row r="391" ht="15.75" customHeight="1" s="215"/>
    <row r="392" ht="15.75" customHeight="1" s="215"/>
    <row r="393" ht="15.75" customHeight="1" s="215"/>
    <row r="394" ht="15.75" customHeight="1" s="215"/>
    <row r="395" ht="15.75" customHeight="1" s="215"/>
    <row r="396" ht="15.75" customHeight="1" s="215"/>
    <row r="397" ht="15.75" customHeight="1" s="215"/>
    <row r="398" ht="15.75" customHeight="1" s="215"/>
    <row r="399" ht="15.75" customHeight="1" s="215"/>
    <row r="400" ht="15.75" customHeight="1" s="215"/>
    <row r="401" ht="15.75" customHeight="1" s="215"/>
    <row r="402" ht="15.75" customHeight="1" s="215"/>
    <row r="403" ht="15.75" customHeight="1" s="215"/>
    <row r="404" ht="15.75" customHeight="1" s="215"/>
    <row r="405" ht="15.75" customHeight="1" s="215"/>
    <row r="406" ht="15.75" customHeight="1" s="215"/>
    <row r="407" ht="15.75" customHeight="1" s="215"/>
    <row r="408" ht="15.75" customHeight="1" s="215"/>
    <row r="409" ht="15.75" customHeight="1" s="215"/>
    <row r="410" ht="15.75" customHeight="1" s="215"/>
    <row r="411" ht="15.75" customHeight="1" s="215"/>
    <row r="412" ht="15.75" customHeight="1" s="215"/>
    <row r="413" ht="15.75" customHeight="1" s="215"/>
    <row r="414" ht="15.75" customHeight="1" s="215"/>
    <row r="415" ht="15.75" customHeight="1" s="215"/>
    <row r="416" ht="15.75" customHeight="1" s="215"/>
    <row r="417" ht="15.75" customHeight="1" s="215"/>
    <row r="418" ht="15.75" customHeight="1" s="215"/>
    <row r="419" ht="15.75" customHeight="1" s="215"/>
    <row r="420" ht="15.75" customHeight="1" s="215"/>
    <row r="421" ht="15.75" customHeight="1" s="215"/>
    <row r="422" ht="15.75" customHeight="1" s="215"/>
    <row r="423" ht="15.75" customHeight="1" s="215"/>
    <row r="424" ht="15.75" customHeight="1" s="215"/>
    <row r="425" ht="15.75" customHeight="1" s="215"/>
    <row r="426" ht="15.75" customHeight="1" s="215"/>
    <row r="427" ht="15.75" customHeight="1" s="215"/>
    <row r="428" ht="15.75" customHeight="1" s="215"/>
    <row r="429" ht="15.75" customHeight="1" s="215"/>
    <row r="430" ht="15.75" customHeight="1" s="215"/>
    <row r="431" ht="15.75" customHeight="1" s="215"/>
    <row r="432" ht="15.75" customHeight="1" s="215"/>
    <row r="433" ht="15.75" customHeight="1" s="215"/>
    <row r="434" ht="15.75" customHeight="1" s="215"/>
    <row r="435" ht="15.75" customHeight="1" s="215"/>
    <row r="436" ht="15.75" customHeight="1" s="215"/>
    <row r="437" ht="15.75" customHeight="1" s="215"/>
    <row r="438" ht="15.75" customHeight="1" s="215"/>
    <row r="439" ht="15.75" customHeight="1" s="215"/>
    <row r="440" ht="15.75" customHeight="1" s="215"/>
    <row r="441" ht="15.75" customHeight="1" s="215"/>
    <row r="442" ht="15.75" customHeight="1" s="215"/>
    <row r="443" ht="15.75" customHeight="1" s="215"/>
    <row r="444" ht="15.75" customHeight="1" s="215"/>
    <row r="445" ht="15.75" customHeight="1" s="215"/>
    <row r="446" ht="15.75" customHeight="1" s="215"/>
    <row r="447" ht="15.75" customHeight="1" s="215"/>
    <row r="448" ht="15.75" customHeight="1" s="215"/>
    <row r="449" ht="15.75" customHeight="1" s="215"/>
    <row r="450" ht="15.75" customHeight="1" s="215"/>
    <row r="451" ht="15.75" customHeight="1" s="215"/>
    <row r="452" ht="15.75" customHeight="1" s="215"/>
    <row r="453" ht="15.75" customHeight="1" s="215"/>
    <row r="454" ht="15.75" customHeight="1" s="215"/>
    <row r="455" ht="15.75" customHeight="1" s="215"/>
    <row r="456" ht="15.75" customHeight="1" s="215"/>
    <row r="457" ht="15.75" customHeight="1" s="215"/>
    <row r="458" ht="15.75" customHeight="1" s="215"/>
    <row r="459" ht="15.75" customHeight="1" s="215"/>
    <row r="460" ht="15.75" customHeight="1" s="215"/>
    <row r="461" ht="15.75" customHeight="1" s="215"/>
    <row r="462" ht="15.75" customHeight="1" s="215"/>
    <row r="463" ht="15.75" customHeight="1" s="215"/>
    <row r="464" ht="15.75" customHeight="1" s="215"/>
    <row r="465" ht="15.75" customHeight="1" s="215"/>
    <row r="466" ht="15.75" customHeight="1" s="215"/>
    <row r="467" ht="15.75" customHeight="1" s="215"/>
    <row r="468" ht="15.75" customHeight="1" s="215"/>
    <row r="469" ht="15.75" customHeight="1" s="215"/>
    <row r="470" ht="15.75" customHeight="1" s="215"/>
    <row r="471" ht="15.75" customHeight="1" s="215"/>
    <row r="472" ht="15.75" customHeight="1" s="215"/>
    <row r="473" ht="15.75" customHeight="1" s="215"/>
    <row r="474" ht="15.75" customHeight="1" s="215"/>
    <row r="475" ht="15.75" customHeight="1" s="215"/>
    <row r="476" ht="15.75" customHeight="1" s="215"/>
    <row r="477" ht="15.75" customHeight="1" s="215"/>
    <row r="478" ht="15.75" customHeight="1" s="215"/>
    <row r="479" ht="15.75" customHeight="1" s="215"/>
    <row r="480" ht="15.75" customHeight="1" s="215"/>
    <row r="481" ht="15.75" customHeight="1" s="215"/>
    <row r="482" ht="15.75" customHeight="1" s="215"/>
    <row r="483" ht="15.75" customHeight="1" s="215"/>
    <row r="484" ht="15.75" customHeight="1" s="215"/>
    <row r="485" ht="15.75" customHeight="1" s="215"/>
    <row r="486" ht="15.75" customHeight="1" s="215"/>
    <row r="487" ht="15.75" customHeight="1" s="215"/>
    <row r="488" ht="15.75" customHeight="1" s="215"/>
    <row r="489" ht="15.75" customHeight="1" s="215"/>
    <row r="490" ht="15.75" customHeight="1" s="215"/>
    <row r="491" ht="15.75" customHeight="1" s="215"/>
    <row r="492" ht="15.75" customHeight="1" s="215"/>
    <row r="493" ht="15.75" customHeight="1" s="215"/>
    <row r="494" ht="15.75" customHeight="1" s="215"/>
    <row r="495" ht="15.75" customHeight="1" s="215"/>
    <row r="496" ht="15.75" customHeight="1" s="215"/>
    <row r="497" ht="15.75" customHeight="1" s="215"/>
    <row r="498" ht="15.75" customHeight="1" s="215"/>
    <row r="499" ht="15.75" customHeight="1" s="215"/>
    <row r="500" ht="15.75" customHeight="1" s="215"/>
    <row r="501" ht="15.75" customHeight="1" s="215"/>
    <row r="502" ht="15.75" customHeight="1" s="215"/>
    <row r="503" ht="15.75" customHeight="1" s="215"/>
    <row r="504" ht="15.75" customHeight="1" s="215"/>
    <row r="505" ht="15.75" customHeight="1" s="215"/>
    <row r="506" ht="15.75" customHeight="1" s="215"/>
    <row r="507" ht="15.75" customHeight="1" s="215"/>
    <row r="508" ht="15.75" customHeight="1" s="215"/>
    <row r="509" ht="15.75" customHeight="1" s="215"/>
    <row r="510" ht="15.75" customHeight="1" s="215"/>
    <row r="511" ht="15.75" customHeight="1" s="215"/>
    <row r="512" ht="15.75" customHeight="1" s="215"/>
    <row r="513" ht="15.75" customHeight="1" s="215"/>
    <row r="514" ht="15.75" customHeight="1" s="215"/>
    <row r="515" ht="15.75" customHeight="1" s="215"/>
    <row r="516" ht="15.75" customHeight="1" s="215"/>
    <row r="517" ht="15.75" customHeight="1" s="215"/>
    <row r="518" ht="15.75" customHeight="1" s="215"/>
    <row r="519" ht="15.75" customHeight="1" s="215"/>
    <row r="520" ht="15.75" customHeight="1" s="215"/>
    <row r="521" ht="15.75" customHeight="1" s="215"/>
    <row r="522" ht="15.75" customHeight="1" s="215"/>
    <row r="523" ht="15.75" customHeight="1" s="215"/>
    <row r="524" ht="15.75" customHeight="1" s="215"/>
    <row r="525" ht="15.75" customHeight="1" s="215"/>
    <row r="526" ht="15.75" customHeight="1" s="215"/>
    <row r="527" ht="15.75" customHeight="1" s="215"/>
    <row r="528" ht="15.75" customHeight="1" s="215"/>
    <row r="529" ht="15.75" customHeight="1" s="215"/>
    <row r="530" ht="15.75" customHeight="1" s="215"/>
    <row r="531" ht="15.75" customHeight="1" s="215"/>
    <row r="532" ht="15.75" customHeight="1" s="215"/>
    <row r="533" ht="15.75" customHeight="1" s="215"/>
    <row r="534" ht="15.75" customHeight="1" s="215"/>
    <row r="535" ht="15.75" customHeight="1" s="215"/>
    <row r="536" ht="15.75" customHeight="1" s="215"/>
    <row r="537" ht="15.75" customHeight="1" s="215"/>
    <row r="538" ht="15.75" customHeight="1" s="215"/>
    <row r="539" ht="15.75" customHeight="1" s="215"/>
    <row r="540" ht="15.75" customHeight="1" s="215"/>
    <row r="541" ht="15.75" customHeight="1" s="215"/>
    <row r="542" ht="15.75" customHeight="1" s="215"/>
    <row r="543" ht="15.75" customHeight="1" s="215"/>
    <row r="544" ht="15.75" customHeight="1" s="215"/>
    <row r="545" ht="15.75" customHeight="1" s="215"/>
    <row r="546" ht="15.75" customHeight="1" s="215"/>
    <row r="547" ht="15.75" customHeight="1" s="215"/>
    <row r="548" ht="15.75" customHeight="1" s="215"/>
    <row r="549" ht="15.75" customHeight="1" s="215"/>
    <row r="550" ht="15.75" customHeight="1" s="215"/>
    <row r="551" ht="15.75" customHeight="1" s="215"/>
    <row r="552" ht="15.75" customHeight="1" s="215"/>
    <row r="553" ht="15.75" customHeight="1" s="215"/>
    <row r="554" ht="15.75" customHeight="1" s="215"/>
    <row r="555" ht="15.75" customHeight="1" s="215"/>
    <row r="556" ht="15.75" customHeight="1" s="215"/>
    <row r="557" ht="15.75" customHeight="1" s="215"/>
    <row r="558" ht="15.75" customHeight="1" s="215"/>
    <row r="559" ht="15.75" customHeight="1" s="215"/>
    <row r="560" ht="15.75" customHeight="1" s="215"/>
    <row r="561" ht="15.75" customHeight="1" s="215"/>
    <row r="562" ht="15.75" customHeight="1" s="215"/>
    <row r="563" ht="15.75" customHeight="1" s="215"/>
    <row r="564" ht="15.75" customHeight="1" s="215"/>
    <row r="565" ht="15.75" customHeight="1" s="215"/>
    <row r="566" ht="15.75" customHeight="1" s="215"/>
    <row r="567" ht="15.75" customHeight="1" s="215"/>
    <row r="568" ht="15.75" customHeight="1" s="215"/>
    <row r="569" ht="15.75" customHeight="1" s="215"/>
    <row r="570" ht="15.75" customHeight="1" s="215"/>
    <row r="571" ht="15.75" customHeight="1" s="215"/>
    <row r="572" ht="15.75" customHeight="1" s="215"/>
    <row r="573" ht="15.75" customHeight="1" s="215"/>
    <row r="574" ht="15.75" customHeight="1" s="215"/>
    <row r="575" ht="15.75" customHeight="1" s="215"/>
    <row r="576" ht="15.75" customHeight="1" s="215"/>
    <row r="577" ht="15.75" customHeight="1" s="215"/>
    <row r="578" ht="15.75" customHeight="1" s="215"/>
    <row r="579" ht="15.75" customHeight="1" s="215"/>
    <row r="580" ht="15.75" customHeight="1" s="215"/>
    <row r="581" ht="15.75" customHeight="1" s="215"/>
    <row r="582" ht="15.75" customHeight="1" s="215"/>
    <row r="583" ht="15.75" customHeight="1" s="215"/>
    <row r="584" ht="15.75" customHeight="1" s="215"/>
    <row r="585" ht="15.75" customHeight="1" s="215"/>
    <row r="586" ht="15.75" customHeight="1" s="215"/>
    <row r="587" ht="15.75" customHeight="1" s="215"/>
    <row r="588" ht="15.75" customHeight="1" s="215"/>
    <row r="589" ht="15.75" customHeight="1" s="215"/>
    <row r="590" ht="15.75" customHeight="1" s="215"/>
    <row r="591" ht="15.75" customHeight="1" s="215"/>
    <row r="592" ht="15.75" customHeight="1" s="215"/>
    <row r="593" ht="15.75" customHeight="1" s="215"/>
    <row r="594" ht="15.75" customHeight="1" s="215"/>
    <row r="595" ht="15.75" customHeight="1" s="215"/>
    <row r="596" ht="15.75" customHeight="1" s="215"/>
    <row r="597" ht="15.75" customHeight="1" s="215"/>
    <row r="598" ht="15.75" customHeight="1" s="215"/>
    <row r="599" ht="15.75" customHeight="1" s="215"/>
    <row r="600" ht="15.75" customHeight="1" s="215"/>
    <row r="601" ht="15.75" customHeight="1" s="215"/>
    <row r="602" ht="15.75" customHeight="1" s="215"/>
    <row r="603" ht="15.75" customHeight="1" s="215"/>
    <row r="604" ht="15.75" customHeight="1" s="215"/>
    <row r="605" ht="15.75" customHeight="1" s="215"/>
    <row r="606" ht="15.75" customHeight="1" s="215"/>
    <row r="607" ht="15.75" customHeight="1" s="215"/>
    <row r="608" ht="15.75" customHeight="1" s="215"/>
    <row r="609" ht="15.75" customHeight="1" s="215"/>
    <row r="610" ht="15.75" customHeight="1" s="215"/>
    <row r="611" ht="15.75" customHeight="1" s="215"/>
    <row r="612" ht="15.75" customHeight="1" s="215"/>
    <row r="613" ht="15.75" customHeight="1" s="215"/>
    <row r="614" ht="15.75" customHeight="1" s="215"/>
    <row r="615" ht="15.75" customHeight="1" s="215"/>
    <row r="616" ht="15.75" customHeight="1" s="215"/>
    <row r="617" ht="15.75" customHeight="1" s="215"/>
    <row r="618" ht="15.75" customHeight="1" s="215"/>
    <row r="619" ht="15.75" customHeight="1" s="215"/>
    <row r="620" ht="15.75" customHeight="1" s="215"/>
    <row r="621" ht="15.75" customHeight="1" s="215"/>
    <row r="622" ht="15.75" customHeight="1" s="215"/>
    <row r="623" ht="15.75" customHeight="1" s="215"/>
    <row r="624" ht="15.75" customHeight="1" s="215"/>
    <row r="625" ht="15.75" customHeight="1" s="215"/>
    <row r="626" ht="15.75" customHeight="1" s="215"/>
    <row r="627" ht="15.75" customHeight="1" s="215"/>
    <row r="628" ht="15.75" customHeight="1" s="215"/>
    <row r="629" ht="15.75" customHeight="1" s="215"/>
    <row r="630" ht="15.75" customHeight="1" s="215"/>
    <row r="631" ht="15.75" customHeight="1" s="215"/>
    <row r="632" ht="15.75" customHeight="1" s="215"/>
    <row r="633" ht="15.75" customHeight="1" s="215"/>
    <row r="634" ht="15.75" customHeight="1" s="215"/>
    <row r="635" ht="15.75" customHeight="1" s="215"/>
    <row r="636" ht="15.75" customHeight="1" s="215"/>
    <row r="637" ht="15.75" customHeight="1" s="215"/>
    <row r="638" ht="15.75" customHeight="1" s="215"/>
    <row r="639" ht="15.75" customHeight="1" s="215"/>
    <row r="640" ht="15.75" customHeight="1" s="215"/>
    <row r="641" ht="15.75" customHeight="1" s="215"/>
    <row r="642" ht="15.75" customHeight="1" s="215"/>
    <row r="643" ht="15.75" customHeight="1" s="215"/>
    <row r="644" ht="15.75" customHeight="1" s="215"/>
    <row r="645" ht="15.75" customHeight="1" s="215"/>
    <row r="646" ht="15.75" customHeight="1" s="215"/>
    <row r="647" ht="15.75" customHeight="1" s="215"/>
    <row r="648" ht="15.75" customHeight="1" s="215"/>
    <row r="649" ht="15.75" customHeight="1" s="215"/>
    <row r="650" ht="15.75" customHeight="1" s="215"/>
    <row r="651" ht="15.75" customHeight="1" s="215"/>
    <row r="652" ht="15.75" customHeight="1" s="215"/>
    <row r="653" ht="15.75" customHeight="1" s="215"/>
    <row r="654" ht="15.75" customHeight="1" s="215"/>
    <row r="655" ht="15.75" customHeight="1" s="215"/>
    <row r="656" ht="15.75" customHeight="1" s="215"/>
    <row r="657" ht="15.75" customHeight="1" s="215"/>
    <row r="658" ht="15.75" customHeight="1" s="215"/>
    <row r="659" ht="15.75" customHeight="1" s="215"/>
    <row r="660" ht="15.75" customHeight="1" s="215"/>
    <row r="661" ht="15.75" customHeight="1" s="215"/>
    <row r="662" ht="15.75" customHeight="1" s="215"/>
    <row r="663" ht="15.75" customHeight="1" s="215"/>
    <row r="664" ht="15.75" customHeight="1" s="215"/>
    <row r="665" ht="15.75" customHeight="1" s="215"/>
    <row r="666" ht="15.75" customHeight="1" s="215"/>
    <row r="667" ht="15.75" customHeight="1" s="215"/>
    <row r="668" ht="15.75" customHeight="1" s="215"/>
    <row r="669" ht="15.75" customHeight="1" s="215"/>
    <row r="670" ht="15.75" customHeight="1" s="215"/>
    <row r="671" ht="15.75" customHeight="1" s="215"/>
    <row r="672" ht="15.75" customHeight="1" s="215"/>
    <row r="673" ht="15.75" customHeight="1" s="215"/>
    <row r="674" ht="15.75" customHeight="1" s="215"/>
    <row r="675" ht="15.75" customHeight="1" s="215"/>
    <row r="676" ht="15.75" customHeight="1" s="215"/>
    <row r="677" ht="15.75" customHeight="1" s="215"/>
    <row r="678" ht="15.75" customHeight="1" s="215"/>
    <row r="679" ht="15.75" customHeight="1" s="215"/>
    <row r="680" ht="15.75" customHeight="1" s="215"/>
    <row r="681" ht="15.75" customHeight="1" s="215"/>
    <row r="682" ht="15.75" customHeight="1" s="215"/>
    <row r="683" ht="15.75" customHeight="1" s="215"/>
    <row r="684" ht="15.75" customHeight="1" s="215"/>
    <row r="685" ht="15.75" customHeight="1" s="215"/>
    <row r="686" ht="15.75" customHeight="1" s="215"/>
    <row r="687" ht="15.75" customHeight="1" s="215"/>
    <row r="688" ht="15.75" customHeight="1" s="215"/>
    <row r="689" ht="15.75" customHeight="1" s="215"/>
    <row r="690" ht="15.75" customHeight="1" s="215"/>
    <row r="691" ht="15.75" customHeight="1" s="215"/>
    <row r="692" ht="15.75" customHeight="1" s="215"/>
    <row r="693" ht="15.75" customHeight="1" s="215"/>
    <row r="694" ht="15.75" customHeight="1" s="215"/>
    <row r="695" ht="15.75" customHeight="1" s="215"/>
    <row r="696" ht="15.75" customHeight="1" s="215"/>
    <row r="697" ht="15.75" customHeight="1" s="215"/>
    <row r="698" ht="15.75" customHeight="1" s="215"/>
    <row r="699" ht="15.75" customHeight="1" s="215"/>
    <row r="700" ht="15.75" customHeight="1" s="215"/>
    <row r="701" ht="15.75" customHeight="1" s="215"/>
    <row r="702" ht="15.75" customHeight="1" s="215"/>
    <row r="703" ht="15.75" customHeight="1" s="215"/>
    <row r="704" ht="15.75" customHeight="1" s="215"/>
    <row r="705" ht="15.75" customHeight="1" s="215"/>
    <row r="706" ht="15.75" customHeight="1" s="215"/>
    <row r="707" ht="15.75" customHeight="1" s="215"/>
    <row r="708" ht="15.75" customHeight="1" s="215"/>
    <row r="709" ht="15.75" customHeight="1" s="215"/>
    <row r="710" ht="15.75" customHeight="1" s="215"/>
    <row r="711" ht="15.75" customHeight="1" s="215"/>
    <row r="712" ht="15.75" customHeight="1" s="215"/>
    <row r="713" ht="15.75" customHeight="1" s="215"/>
    <row r="714" ht="15.75" customHeight="1" s="215"/>
    <row r="715" ht="15.75" customHeight="1" s="215"/>
    <row r="716" ht="15.75" customHeight="1" s="215"/>
    <row r="717" ht="15.75" customHeight="1" s="215"/>
    <row r="718" ht="15.75" customHeight="1" s="215"/>
    <row r="719" ht="15.75" customHeight="1" s="215"/>
    <row r="720" ht="15.75" customHeight="1" s="215"/>
    <row r="721" ht="15.75" customHeight="1" s="215"/>
    <row r="722" ht="15.75" customHeight="1" s="215"/>
    <row r="723" ht="15.75" customHeight="1" s="215"/>
    <row r="724" ht="15.75" customHeight="1" s="215"/>
    <row r="725" ht="15.75" customHeight="1" s="215"/>
    <row r="726" ht="15.75" customHeight="1" s="215"/>
    <row r="727" ht="15.75" customHeight="1" s="215"/>
    <row r="728" ht="15.75" customHeight="1" s="215"/>
    <row r="729" ht="15.75" customHeight="1" s="215"/>
    <row r="730" ht="15.75" customHeight="1" s="215"/>
    <row r="731" ht="15.75" customHeight="1" s="215"/>
    <row r="732" ht="15.75" customHeight="1" s="215"/>
    <row r="733" ht="15.75" customHeight="1" s="215"/>
    <row r="734" ht="15.75" customHeight="1" s="215"/>
    <row r="735" ht="15.75" customHeight="1" s="215"/>
    <row r="736" ht="15.75" customHeight="1" s="215"/>
    <row r="737" ht="15.75" customHeight="1" s="215"/>
    <row r="738" ht="15.75" customHeight="1" s="215"/>
    <row r="739" ht="15.75" customHeight="1" s="215"/>
    <row r="740" ht="15.75" customHeight="1" s="215"/>
    <row r="741" ht="15.75" customHeight="1" s="215"/>
    <row r="742" ht="15.75" customHeight="1" s="215"/>
    <row r="743" ht="15.75" customHeight="1" s="215"/>
    <row r="744" ht="15.75" customHeight="1" s="215"/>
    <row r="745" ht="15.75" customHeight="1" s="215"/>
    <row r="746" ht="15.75" customHeight="1" s="215"/>
    <row r="747" ht="15.75" customHeight="1" s="215"/>
    <row r="748" ht="15.75" customHeight="1" s="215"/>
    <row r="749" ht="15.75" customHeight="1" s="215"/>
    <row r="750" ht="15.75" customHeight="1" s="215"/>
    <row r="751" ht="15.75" customHeight="1" s="215"/>
    <row r="752" ht="15.75" customHeight="1" s="215"/>
    <row r="753" ht="15.75" customHeight="1" s="215"/>
    <row r="754" ht="15.75" customHeight="1" s="215"/>
    <row r="755" ht="15.75" customHeight="1" s="215"/>
    <row r="756" ht="15.75" customHeight="1" s="215"/>
    <row r="757" ht="15.75" customHeight="1" s="215"/>
    <row r="758" ht="15.75" customHeight="1" s="215"/>
    <row r="759" ht="15.75" customHeight="1" s="215"/>
    <row r="760" ht="15.75" customHeight="1" s="215"/>
    <row r="761" ht="15.75" customHeight="1" s="215"/>
    <row r="762" ht="15.75" customHeight="1" s="215"/>
    <row r="763" ht="15.75" customHeight="1" s="215"/>
    <row r="764" ht="15.75" customHeight="1" s="215"/>
    <row r="765" ht="15.75" customHeight="1" s="215"/>
    <row r="766" ht="15.75" customHeight="1" s="215"/>
    <row r="767" ht="15.75" customHeight="1" s="215"/>
    <row r="768" ht="15.75" customHeight="1" s="215"/>
    <row r="769" ht="15.75" customHeight="1" s="215"/>
    <row r="770" ht="15.75" customHeight="1" s="215"/>
    <row r="771" ht="15.75" customHeight="1" s="215"/>
    <row r="772" ht="15.75" customHeight="1" s="215"/>
    <row r="773" ht="15.75" customHeight="1" s="215"/>
    <row r="774" ht="15.75" customHeight="1" s="215"/>
    <row r="775" ht="15.75" customHeight="1" s="215"/>
    <row r="776" ht="15.75" customHeight="1" s="215"/>
    <row r="777" ht="15.75" customHeight="1" s="215"/>
    <row r="778" ht="15.75" customHeight="1" s="215"/>
    <row r="779" ht="15.75" customHeight="1" s="215"/>
    <row r="780" ht="15.75" customHeight="1" s="215"/>
    <row r="781" ht="15.75" customHeight="1" s="215"/>
    <row r="782" ht="15.75" customHeight="1" s="215"/>
    <row r="783" ht="15.75" customHeight="1" s="215"/>
    <row r="784" ht="15.75" customHeight="1" s="215"/>
    <row r="785" ht="15.75" customHeight="1" s="215"/>
    <row r="786" ht="15.75" customHeight="1" s="215"/>
    <row r="787" ht="15.75" customHeight="1" s="215"/>
    <row r="788" ht="15.75" customHeight="1" s="215"/>
    <row r="789" ht="15.75" customHeight="1" s="215"/>
    <row r="790" ht="15.75" customHeight="1" s="215"/>
    <row r="791" ht="15.75" customHeight="1" s="215"/>
    <row r="792" ht="15.75" customHeight="1" s="215"/>
    <row r="793" ht="15.75" customHeight="1" s="215"/>
    <row r="794" ht="15.75" customHeight="1" s="215"/>
    <row r="795" ht="15.75" customHeight="1" s="215"/>
    <row r="796" ht="15.75" customHeight="1" s="215"/>
    <row r="797" ht="15.75" customHeight="1" s="215"/>
    <row r="798" ht="15.75" customHeight="1" s="215"/>
    <row r="799" ht="15.75" customHeight="1" s="215"/>
    <row r="800" ht="15.75" customHeight="1" s="215"/>
    <row r="801" ht="15.75" customHeight="1" s="215"/>
    <row r="802" ht="15.75" customHeight="1" s="215"/>
    <row r="803" ht="15.75" customHeight="1" s="215"/>
    <row r="804" ht="15.75" customHeight="1" s="215"/>
    <row r="805" ht="15.75" customHeight="1" s="215"/>
    <row r="806" ht="15.75" customHeight="1" s="215"/>
    <row r="807" ht="15.75" customHeight="1" s="215"/>
    <row r="808" ht="15.75" customHeight="1" s="215"/>
    <row r="809" ht="15.75" customHeight="1" s="215"/>
    <row r="810" ht="15.75" customHeight="1" s="215"/>
    <row r="811" ht="15.75" customHeight="1" s="215"/>
    <row r="812" ht="15.75" customHeight="1" s="215"/>
    <row r="813" ht="15.75" customHeight="1" s="215"/>
    <row r="814" ht="15.75" customHeight="1" s="215"/>
    <row r="815" ht="15.75" customHeight="1" s="215"/>
    <row r="816" ht="15.75" customHeight="1" s="215"/>
    <row r="817" ht="15.75" customHeight="1" s="215"/>
    <row r="818" ht="15.75" customHeight="1" s="215"/>
    <row r="819" ht="15.75" customHeight="1" s="215"/>
    <row r="820" ht="15.75" customHeight="1" s="215"/>
    <row r="821" ht="15.75" customHeight="1" s="215"/>
    <row r="822" ht="15.75" customHeight="1" s="215"/>
    <row r="823" ht="15.75" customHeight="1" s="215"/>
    <row r="824" ht="15.75" customHeight="1" s="215"/>
    <row r="825" ht="15.75" customHeight="1" s="215"/>
    <row r="826" ht="15.75" customHeight="1" s="215"/>
    <row r="827" ht="15.75" customHeight="1" s="215"/>
    <row r="828" ht="15.75" customHeight="1" s="215"/>
    <row r="829" ht="15.75" customHeight="1" s="215"/>
    <row r="830" ht="15.75" customHeight="1" s="215"/>
    <row r="831" ht="15.75" customHeight="1" s="215"/>
    <row r="832" ht="15.75" customHeight="1" s="215"/>
    <row r="833" ht="15.75" customHeight="1" s="215"/>
    <row r="834" ht="15.75" customHeight="1" s="215"/>
    <row r="835" ht="15.75" customHeight="1" s="215"/>
    <row r="836" ht="15.75" customHeight="1" s="215"/>
    <row r="837" ht="15.75" customHeight="1" s="215"/>
    <row r="838" ht="15.75" customHeight="1" s="215"/>
    <row r="839" ht="15.75" customHeight="1" s="215"/>
    <row r="840" ht="15.75" customHeight="1" s="215"/>
    <row r="841" ht="15.75" customHeight="1" s="215"/>
    <row r="842" ht="15.75" customHeight="1" s="215"/>
    <row r="843" ht="15.75" customHeight="1" s="215"/>
    <row r="844" ht="15.75" customHeight="1" s="215"/>
    <row r="845" ht="15.75" customHeight="1" s="215"/>
    <row r="846" ht="15.75" customHeight="1" s="215"/>
    <row r="847" ht="15.75" customHeight="1" s="215"/>
    <row r="848" ht="15.75" customHeight="1" s="215"/>
    <row r="849" ht="15.75" customHeight="1" s="215"/>
    <row r="850" ht="15.75" customHeight="1" s="215"/>
    <row r="851" ht="15.75" customHeight="1" s="215"/>
    <row r="852" ht="15.75" customHeight="1" s="215"/>
    <row r="853" ht="15.75" customHeight="1" s="215"/>
    <row r="854" ht="15.75" customHeight="1" s="215"/>
    <row r="855" ht="15.75" customHeight="1" s="215"/>
    <row r="856" ht="15.75" customHeight="1" s="215"/>
    <row r="857" ht="15.75" customHeight="1" s="215"/>
    <row r="858" ht="15.75" customHeight="1" s="215"/>
    <row r="859" ht="15.75" customHeight="1" s="215"/>
    <row r="860" ht="15.75" customHeight="1" s="215"/>
    <row r="861" ht="15.75" customHeight="1" s="215"/>
    <row r="862" ht="15.75" customHeight="1" s="215"/>
    <row r="863" ht="15.75" customHeight="1" s="215"/>
    <row r="864" ht="15.75" customHeight="1" s="215"/>
    <row r="865" ht="15.75" customHeight="1" s="215"/>
    <row r="866" ht="15.75" customHeight="1" s="215"/>
    <row r="867" ht="15.75" customHeight="1" s="215"/>
    <row r="868" ht="15.75" customHeight="1" s="215"/>
    <row r="869" ht="15.75" customHeight="1" s="215"/>
    <row r="870" ht="15.75" customHeight="1" s="215"/>
    <row r="871" ht="15.75" customHeight="1" s="215"/>
    <row r="872" ht="15.75" customHeight="1" s="215"/>
    <row r="873" ht="15.75" customHeight="1" s="215"/>
    <row r="874" ht="15.75" customHeight="1" s="215"/>
    <row r="875" ht="15.75" customHeight="1" s="215"/>
    <row r="876" ht="15.75" customHeight="1" s="215"/>
    <row r="877" ht="15.75" customHeight="1" s="215"/>
    <row r="878" ht="15.75" customHeight="1" s="215"/>
    <row r="879" ht="15.75" customHeight="1" s="215"/>
    <row r="880" ht="15.75" customHeight="1" s="215"/>
    <row r="881" ht="15.75" customHeight="1" s="215"/>
    <row r="882" ht="15.75" customHeight="1" s="215"/>
    <row r="883" ht="15.75" customHeight="1" s="215"/>
    <row r="884" ht="15.75" customHeight="1" s="215"/>
    <row r="885" ht="15.75" customHeight="1" s="215"/>
    <row r="886" ht="15.75" customHeight="1" s="215"/>
    <row r="887" ht="15.75" customHeight="1" s="215"/>
    <row r="888" ht="15.75" customHeight="1" s="215"/>
    <row r="889" ht="15.75" customHeight="1" s="215"/>
    <row r="890" ht="15.75" customHeight="1" s="215"/>
    <row r="891" ht="15.75" customHeight="1" s="215"/>
    <row r="892" ht="15.75" customHeight="1" s="215"/>
    <row r="893" ht="15.75" customHeight="1" s="215"/>
    <row r="894" ht="15.75" customHeight="1" s="215"/>
    <row r="895" ht="15.75" customHeight="1" s="215"/>
    <row r="896" ht="15.75" customHeight="1" s="215"/>
    <row r="897" ht="15.75" customHeight="1" s="215"/>
    <row r="898" ht="15.75" customHeight="1" s="215"/>
    <row r="899" ht="15.75" customHeight="1" s="215"/>
    <row r="900" ht="15.75" customHeight="1" s="215"/>
    <row r="901" ht="15.75" customHeight="1" s="215"/>
    <row r="902" ht="15.75" customHeight="1" s="215"/>
    <row r="903" ht="15.75" customHeight="1" s="215"/>
    <row r="904" ht="15.75" customHeight="1" s="215"/>
    <row r="905" ht="15.75" customHeight="1" s="215"/>
    <row r="906" ht="15.75" customHeight="1" s="215"/>
    <row r="907" ht="15.75" customHeight="1" s="215"/>
    <row r="908" ht="15.75" customHeight="1" s="215"/>
    <row r="909" ht="15.75" customHeight="1" s="215"/>
    <row r="910" ht="15.75" customHeight="1" s="215"/>
    <row r="911" ht="15.75" customHeight="1" s="215"/>
    <row r="912" ht="15.75" customHeight="1" s="215"/>
    <row r="913" ht="15.75" customHeight="1" s="215"/>
    <row r="914" ht="15.75" customHeight="1" s="215"/>
    <row r="915" ht="15.75" customHeight="1" s="215"/>
    <row r="916" ht="15.75" customHeight="1" s="215"/>
    <row r="917" ht="15.75" customHeight="1" s="215"/>
    <row r="918" ht="15.75" customHeight="1" s="215"/>
    <row r="919" ht="15.75" customHeight="1" s="215"/>
    <row r="920" ht="15.75" customHeight="1" s="215"/>
    <row r="921" ht="15.75" customHeight="1" s="215"/>
    <row r="922" ht="15.75" customHeight="1" s="215"/>
    <row r="923" ht="15.75" customHeight="1" s="215"/>
    <row r="924" ht="15.75" customHeight="1" s="215"/>
    <row r="925" ht="15.75" customHeight="1" s="215"/>
    <row r="926" ht="15.75" customHeight="1" s="215"/>
    <row r="927" ht="15.75" customHeight="1" s="215"/>
    <row r="928" ht="15.75" customHeight="1" s="215"/>
    <row r="929" ht="15.75" customHeight="1" s="215"/>
    <row r="930" ht="15.75" customHeight="1" s="215"/>
    <row r="931" ht="15.75" customHeight="1" s="215"/>
    <row r="932" ht="15.75" customHeight="1" s="215"/>
    <row r="933" ht="15.75" customHeight="1" s="215"/>
    <row r="934" ht="15.75" customHeight="1" s="215"/>
    <row r="935" ht="15.75" customHeight="1" s="215"/>
    <row r="936" ht="15.75" customHeight="1" s="215"/>
    <row r="937" ht="15.75" customHeight="1" s="215"/>
    <row r="938" ht="15.75" customHeight="1" s="215"/>
    <row r="939" ht="15.75" customHeight="1" s="215"/>
    <row r="940" ht="15.75" customHeight="1" s="215"/>
    <row r="941" ht="15.75" customHeight="1" s="215"/>
    <row r="942" ht="15.75" customHeight="1" s="215"/>
    <row r="943" ht="15.75" customHeight="1" s="215"/>
    <row r="944" ht="15.75" customHeight="1" s="215"/>
    <row r="945" ht="15.75" customHeight="1" s="215"/>
    <row r="946" ht="15.75" customHeight="1" s="215"/>
    <row r="947" ht="15.75" customHeight="1" s="215"/>
    <row r="948" ht="15.75" customHeight="1" s="215"/>
    <row r="949" ht="15.75" customHeight="1" s="215"/>
    <row r="950" ht="15.75" customHeight="1" s="215"/>
    <row r="951" ht="15.75" customHeight="1" s="215"/>
    <row r="952" ht="15.75" customHeight="1" s="215"/>
    <row r="953" ht="15.75" customHeight="1" s="215"/>
    <row r="954" ht="15.75" customHeight="1" s="215"/>
    <row r="955" ht="15.75" customHeight="1" s="215"/>
    <row r="956" ht="15.75" customHeight="1" s="215"/>
    <row r="957" ht="15.75" customHeight="1" s="215"/>
    <row r="958" ht="15.75" customHeight="1" s="215"/>
    <row r="959" ht="15.75" customHeight="1" s="215"/>
    <row r="960" ht="15.75" customHeight="1" s="215"/>
    <row r="961" ht="15.75" customHeight="1" s="215"/>
    <row r="962" ht="15.75" customHeight="1" s="215"/>
    <row r="963" ht="15.75" customHeight="1" s="215"/>
    <row r="964" ht="15.75" customHeight="1" s="215"/>
    <row r="965" ht="15.75" customHeight="1" s="215"/>
    <row r="966" ht="15.75" customHeight="1" s="215"/>
    <row r="967" ht="15.75" customHeight="1" s="215"/>
    <row r="968" ht="15.75" customHeight="1" s="215"/>
    <row r="969" ht="15.75" customHeight="1" s="215"/>
    <row r="970" ht="15.75" customHeight="1" s="215"/>
    <row r="971" ht="15.75" customHeight="1" s="215"/>
    <row r="972" ht="15.75" customHeight="1" s="215"/>
    <row r="973" ht="15.75" customHeight="1" s="215"/>
    <row r="974" ht="15.75" customHeight="1" s="215"/>
    <row r="975" ht="15.75" customHeight="1" s="215"/>
    <row r="976" ht="15.75" customHeight="1" s="215"/>
    <row r="977" ht="15.75" customHeight="1" s="215"/>
    <row r="978" ht="15.75" customHeight="1" s="215"/>
    <row r="979" ht="15.75" customHeight="1" s="215"/>
    <row r="980" ht="15.75" customHeight="1" s="215"/>
    <row r="981" ht="15.75" customHeight="1" s="215"/>
    <row r="982" ht="15.75" customHeight="1" s="215"/>
    <row r="983" ht="15.75" customHeight="1" s="215"/>
    <row r="984" ht="15.75" customHeight="1" s="215"/>
    <row r="985" ht="15.75" customHeight="1" s="215"/>
    <row r="986" ht="15.75" customHeight="1" s="215"/>
    <row r="987" ht="15.75" customHeight="1" s="215"/>
    <row r="988" ht="15.75" customHeight="1" s="215"/>
    <row r="989" ht="15.75" customHeight="1" s="215"/>
    <row r="990" ht="15.75" customHeight="1" s="215"/>
    <row r="991" ht="15.75" customHeight="1" s="215"/>
    <row r="992" ht="15.75" customHeight="1" s="215"/>
    <row r="993" ht="15.75" customHeight="1" s="215"/>
    <row r="994" ht="15.75" customHeight="1" s="215"/>
    <row r="995" ht="15.75" customHeight="1" s="215"/>
    <row r="996" ht="15.75" customHeight="1" s="215"/>
    <row r="997" ht="15.75" customHeight="1" s="215"/>
    <row r="998" ht="15.75" customHeight="1" s="215"/>
    <row r="999" ht="15.75" customHeight="1" s="215"/>
    <row r="1000" ht="15.75" customHeight="1" s="215"/>
  </sheetData>
  <mergeCells count="5">
    <mergeCell ref="H9:H10"/>
    <mergeCell ref="B7:C7"/>
    <mergeCell ref="B10:C10"/>
    <mergeCell ref="B2:H2"/>
    <mergeCell ref="E9:G9"/>
  </mergeCells>
  <pageMargins left="0.7" right="0.7" top="0.75" bottom="0.75" header="0" footer="0"/>
  <pageSetup orientation="portrait"/>
</worksheet>
</file>

<file path=xl/worksheets/sheet5.xml><?xml version="1.0" encoding="utf-8"?>
<worksheet xmlns="http://schemas.openxmlformats.org/spreadsheetml/2006/main">
  <sheetPr>
    <tabColor rgb="FF385623"/>
    <outlinePr summaryBelow="1" summaryRight="1"/>
    <pageSetUpPr/>
  </sheetPr>
  <dimension ref="A2:Z178"/>
  <sheetViews>
    <sheetView workbookViewId="0">
      <selection activeCell="A1" sqref="A1"/>
    </sheetView>
  </sheetViews>
  <sheetFormatPr baseColWidth="8" defaultColWidth="12.63" defaultRowHeight="15" customHeight="1"/>
  <cols>
    <col width="2.5" customWidth="1" style="215" min="1" max="1"/>
    <col width="6.75" customWidth="1" style="215" min="2" max="2"/>
    <col width="101.13" customWidth="1" style="215" min="3" max="3"/>
    <col width="3.75" customWidth="1" style="215" min="4" max="4"/>
    <col width="6.25" customWidth="1" style="215" min="5" max="7"/>
    <col width="75" customWidth="1" style="215" min="8" max="8"/>
    <col width="10" customWidth="1" style="215" min="9" max="9"/>
    <col width="24.25" customWidth="1" style="215" min="10" max="10"/>
    <col width="10" customWidth="1" style="215" min="11" max="26"/>
  </cols>
  <sheetData>
    <row r="2" ht="21.75" customHeight="1" s="215">
      <c r="B2" s="31" t="inlineStr">
        <is>
          <t>LISTADO DE REQUERIMIENTOS DEL SISTEMA IMPLEMENTACION DEL SOFTWARE DE RESERVAS PARA EVENTOS DE RESTAURANTES EN BUCARAMANGA (RESERVIFY)</t>
        </is>
      </c>
    </row>
    <row r="3" ht="15" customHeight="1" s="215">
      <c r="B3" s="32" t="n"/>
      <c r="C3" s="32" t="n"/>
    </row>
    <row r="4" ht="15.75" customHeight="1" s="215">
      <c r="B4" s="33" t="inlineStr">
        <is>
          <t>SI</t>
        </is>
      </c>
      <c r="C4" s="34" t="inlineStr">
        <is>
          <t>Marque con una equis (X) si el sistema cumple con la función descrita</t>
        </is>
      </c>
    </row>
    <row r="5" ht="15.75" customHeight="1" s="215">
      <c r="B5" s="33" t="inlineStr">
        <is>
          <t>NO</t>
        </is>
      </c>
      <c r="C5" s="34" t="inlineStr">
        <is>
          <t>Marque con una equis (X) si el sistema no cumple con la función descrita</t>
        </is>
      </c>
    </row>
    <row r="6" ht="15.75" customHeight="1" s="215">
      <c r="B6" s="33" t="inlineStr">
        <is>
          <t>ADI</t>
        </is>
      </c>
      <c r="C6" s="34" t="inlineStr">
        <is>
          <t>Marque con una equis (X) si el sistema debe adicionar la función descrita</t>
        </is>
      </c>
      <c r="R6" s="36">
        <f>COUNTA('REQ. No funcionales'!E12:E58,Financieras!C12:C44,#REF!,#REF!,'Gestion Humana'!C12:C23,'REQ. funcionales backend'!E12:E56)</f>
        <v/>
      </c>
    </row>
    <row r="7" ht="15.75" customHeight="1" s="215">
      <c r="B7" s="35" t="inlineStr">
        <is>
          <t>Observaciones:Espacio para complementar respuestas</t>
        </is>
      </c>
    </row>
    <row r="8" ht="15.75" customHeight="1" s="215">
      <c r="B8" s="35" t="n"/>
      <c r="C8" s="35" t="n"/>
    </row>
    <row r="9" ht="15" customHeight="1" s="215">
      <c r="E9" s="44" t="inlineStr">
        <is>
          <t>Nivel de cumplimiento</t>
        </is>
      </c>
      <c r="F9" s="224" t="n"/>
      <c r="G9" s="225" t="n"/>
      <c r="H9" s="44" t="inlineStr">
        <is>
          <t>OBSERVACIONES</t>
        </is>
      </c>
    </row>
    <row r="10" ht="20.25" customHeight="1" s="215">
      <c r="B10" s="41" t="inlineStr">
        <is>
          <t xml:space="preserve">REQUISITOS FUNCIONALES GENERALES </t>
        </is>
      </c>
      <c r="C10" s="226" t="n"/>
      <c r="D10" s="43" t="n"/>
      <c r="E10" s="44" t="inlineStr">
        <is>
          <t>SI</t>
        </is>
      </c>
      <c r="F10" s="45" t="inlineStr">
        <is>
          <t>ADI</t>
        </is>
      </c>
      <c r="G10" s="45" t="inlineStr">
        <is>
          <t>NO</t>
        </is>
      </c>
      <c r="H10" s="227" t="n"/>
      <c r="I10" s="47" t="n"/>
    </row>
    <row r="11" ht="11.25" customHeight="1" s="215">
      <c r="B11" s="48" t="n"/>
      <c r="C11" s="75" t="n"/>
      <c r="H11" s="76" t="n"/>
    </row>
    <row r="12" s="215">
      <c r="B12" s="101" t="n">
        <v>1</v>
      </c>
      <c r="C12" s="232" t="inlineStr">
        <is>
          <t>BE-001 – Control de disponibilidad de mesas y prevención de reservas duplicadas</t>
        </is>
      </c>
      <c r="D12" s="233" t="n"/>
      <c r="E12" s="12" t="inlineStr">
        <is>
          <t>x</t>
        </is>
      </c>
      <c r="F12" s="12" t="n"/>
      <c r="G12" s="104" t="n"/>
      <c r="H12" s="104" t="n"/>
      <c r="J12" s="57" t="inlineStr">
        <is>
          <t>requerimientos total</t>
        </is>
      </c>
      <c r="K12" s="58">
        <f>COUNTA(C12:C178)</f>
        <v/>
      </c>
    </row>
    <row r="13" s="215">
      <c r="B13" s="101" t="n">
        <v>2</v>
      </c>
      <c r="C13" s="232" t="inlineStr">
        <is>
          <t>BE-002 – Autenticación, roles y permisos</t>
        </is>
      </c>
      <c r="D13" s="233" t="n"/>
      <c r="E13" s="12" t="inlineStr">
        <is>
          <t>x</t>
        </is>
      </c>
      <c r="F13" s="12" t="n"/>
      <c r="G13" s="104" t="n"/>
      <c r="H13" s="104" t="n"/>
      <c r="J13" s="57" t="inlineStr">
        <is>
          <t>requerimientos completados</t>
        </is>
      </c>
      <c r="K13" s="58">
        <f>COUNTA(E12:E178)</f>
        <v/>
      </c>
    </row>
    <row r="14" s="215">
      <c r="B14" s="101" t="n">
        <v>3</v>
      </c>
      <c r="C14" s="232" t="inlineStr">
        <is>
          <t>BE-003 – Gestión de reservas (crear, listar, cancelar, cambiar estado)</t>
        </is>
      </c>
      <c r="D14" s="233" t="n"/>
      <c r="E14" s="12" t="inlineStr">
        <is>
          <t>x</t>
        </is>
      </c>
      <c r="F14" s="12" t="n"/>
      <c r="G14" s="104" t="n"/>
      <c r="H14" s="104" t="n"/>
      <c r="J14" s="57" t="inlineStr">
        <is>
          <t>requerimientos sin completar</t>
        </is>
      </c>
      <c r="K14" s="58">
        <f>K12 - K13</f>
        <v/>
      </c>
    </row>
    <row r="15" s="215">
      <c r="B15" s="101" t="n">
        <v>4</v>
      </c>
      <c r="C15" s="232" t="inlineStr">
        <is>
          <t>BE-004 – Manejo de estados de reserva</t>
        </is>
      </c>
      <c r="D15" s="233" t="n"/>
      <c r="E15" s="12" t="inlineStr">
        <is>
          <t>x</t>
        </is>
      </c>
      <c r="F15" s="12" t="n"/>
      <c r="G15" s="104" t="n"/>
      <c r="H15" s="104" t="n"/>
      <c r="J15" s="57" t="inlineStr">
        <is>
          <t>porcentaje</t>
        </is>
      </c>
      <c r="K15" s="58">
        <f>TEXT((K13/K12)*100,"0,00") &amp; "%"</f>
        <v/>
      </c>
    </row>
    <row r="16" s="215">
      <c r="B16" s="101" t="n">
        <v>5</v>
      </c>
      <c r="C16" s="232" t="inlineStr">
        <is>
          <t>BE-005 – Notificaciones por correo y recordatorios</t>
        </is>
      </c>
      <c r="D16" s="233" t="n"/>
      <c r="E16" s="12" t="inlineStr">
        <is>
          <t>x</t>
        </is>
      </c>
      <c r="F16" s="12" t="n"/>
      <c r="G16" s="104" t="n"/>
      <c r="H16" s="104" t="n"/>
      <c r="J16" s="57" t="n"/>
      <c r="K16" s="58" t="n"/>
    </row>
    <row r="17" s="215">
      <c r="B17" s="101" t="n">
        <v>6</v>
      </c>
      <c r="C17" s="232" t="inlineStr">
        <is>
          <t>BE-006 – Reportes y métricas para toma de decisiones</t>
        </is>
      </c>
      <c r="D17" s="233" t="n"/>
      <c r="E17" s="12" t="inlineStr">
        <is>
          <t>x</t>
        </is>
      </c>
      <c r="F17" s="12" t="n"/>
      <c r="G17" s="104" t="n"/>
      <c r="H17" s="104" t="n"/>
      <c r="J17" s="57" t="n"/>
      <c r="K17" s="58" t="n"/>
    </row>
    <row r="18" s="215">
      <c r="B18" s="101" t="n">
        <v>7</v>
      </c>
      <c r="C18" s="232" t="inlineStr">
        <is>
          <t>BE-007 – Gestión de responsables y personal administrativo</t>
        </is>
      </c>
      <c r="D18" s="233" t="n"/>
      <c r="E18" s="12" t="inlineStr">
        <is>
          <t>x</t>
        </is>
      </c>
      <c r="F18" s="12" t="n"/>
      <c r="G18" s="104" t="n"/>
      <c r="H18" s="104" t="n"/>
      <c r="J18" s="57" t="n"/>
      <c r="K18" s="58" t="n"/>
    </row>
    <row r="19" s="215">
      <c r="B19" s="101" t="n">
        <v>8</v>
      </c>
      <c r="C19" s="232" t="inlineStr">
        <is>
          <t>BE-008 – Comentarios y calificaciones asociadas al restaurante (reseñas de clientes)</t>
        </is>
      </c>
      <c r="D19" s="233" t="n"/>
      <c r="E19" s="12" t="inlineStr">
        <is>
          <t>x</t>
        </is>
      </c>
      <c r="F19" s="12" t="n"/>
      <c r="G19" s="104" t="n"/>
      <c r="H19" s="104" t="n"/>
      <c r="J19" s="57" t="n"/>
      <c r="K19" s="58" t="n"/>
    </row>
    <row r="20" s="215">
      <c r="B20" s="101" t="n">
        <v>9</v>
      </c>
      <c r="C20" s="232" t="inlineStr">
        <is>
          <t>BE-009 – Integración con pasarela de pagos externa</t>
        </is>
      </c>
      <c r="D20" s="233" t="n"/>
      <c r="E20" s="12" t="inlineStr">
        <is>
          <t>x</t>
        </is>
      </c>
      <c r="F20" s="12" t="n"/>
      <c r="G20" s="104" t="n"/>
      <c r="H20" s="104" t="n"/>
      <c r="J20" s="57" t="n"/>
      <c r="K20" s="58" t="n"/>
    </row>
    <row r="21" ht="15.75" customHeight="1" s="215">
      <c r="B21" s="101" t="n">
        <v>10</v>
      </c>
      <c r="C21" s="232" t="inlineStr">
        <is>
          <t>BE-010 – Manejo de pagos y facturación</t>
        </is>
      </c>
      <c r="D21" s="233" t="n"/>
      <c r="E21" s="12" t="inlineStr">
        <is>
          <t>x</t>
        </is>
      </c>
      <c r="F21" s="12" t="n"/>
      <c r="G21" s="104" t="n"/>
      <c r="H21" s="104" t="n"/>
      <c r="J21" s="57" t="n"/>
      <c r="K21" s="58" t="n"/>
    </row>
    <row r="22" ht="15.75" customHeight="1" s="215">
      <c r="B22" s="101" t="n">
        <v>11</v>
      </c>
      <c r="C22" s="232" t="inlineStr">
        <is>
          <t>BE-011 – Historial y auditoría de acciones</t>
        </is>
      </c>
      <c r="D22" s="233" t="n"/>
      <c r="E22" s="12" t="inlineStr">
        <is>
          <t>x</t>
        </is>
      </c>
      <c r="F22" s="12" t="n"/>
      <c r="G22" s="104" t="n"/>
      <c r="H22" s="104" t="n"/>
      <c r="J22" s="57" t="n"/>
      <c r="K22" s="58" t="n"/>
    </row>
    <row r="23" ht="15.75" customHeight="1" s="215">
      <c r="B23" s="101" t="n">
        <v>12</v>
      </c>
      <c r="C23" s="232" t="inlineStr">
        <is>
          <t>BE-012 – Gestión de configuración del restaurante (mesas, horarios, capacidad, categoría)</t>
        </is>
      </c>
      <c r="D23" s="233" t="n"/>
      <c r="E23" s="12" t="inlineStr">
        <is>
          <t>x</t>
        </is>
      </c>
      <c r="F23" s="12" t="n"/>
      <c r="G23" s="104" t="n"/>
      <c r="H23" s="104" t="n"/>
      <c r="J23" s="57" t="n"/>
      <c r="K23" s="58" t="n"/>
    </row>
    <row r="24" ht="15.75" customHeight="1" s="215">
      <c r="B24" s="101" t="n">
        <v>13</v>
      </c>
      <c r="C24" s="232" t="inlineStr">
        <is>
          <t>BE-013 – Endpoints JSON claros para operaciones de reserva</t>
        </is>
      </c>
      <c r="D24" s="233" t="n"/>
      <c r="E24" s="12" t="inlineStr">
        <is>
          <t>x</t>
        </is>
      </c>
      <c r="F24" s="12" t="n"/>
      <c r="G24" s="104" t="n"/>
      <c r="H24" s="104" t="n"/>
      <c r="J24" s="57" t="n"/>
      <c r="K24" s="58" t="n"/>
    </row>
    <row r="25" ht="15.75" customHeight="1" s="215">
      <c r="B25" s="101" t="n">
        <v>14</v>
      </c>
      <c r="C25" s="232" t="inlineStr">
        <is>
          <t>BE-014 – Listado y filtrado de reservas para clientes y administradores</t>
        </is>
      </c>
      <c r="D25" s="233" t="n"/>
      <c r="E25" s="12" t="inlineStr">
        <is>
          <t>x</t>
        </is>
      </c>
      <c r="F25" s="12" t="n"/>
      <c r="G25" s="104" t="n"/>
      <c r="H25" s="104" t="n"/>
      <c r="J25" s="57" t="n"/>
      <c r="K25" s="58" t="n"/>
    </row>
    <row r="26" ht="15.75" customHeight="1" s="215">
      <c r="B26" s="101" t="n">
        <v>15</v>
      </c>
      <c r="C26" s="232" t="inlineStr">
        <is>
          <t>BE-015 – Geolocalización de restaurantes para el mapa</t>
        </is>
      </c>
      <c r="D26" s="233" t="n"/>
      <c r="E26" s="12" t="inlineStr">
        <is>
          <t>x</t>
        </is>
      </c>
      <c r="F26" s="12" t="n"/>
      <c r="G26" s="104" t="n"/>
      <c r="H26" s="104" t="n"/>
      <c r="J26" s="57" t="n"/>
      <c r="K26" s="58" t="n"/>
    </row>
    <row r="27" ht="15.75" customHeight="1" s="215">
      <c r="B27" s="101" t="n">
        <v>16</v>
      </c>
      <c r="C27" s="232" t="inlineStr">
        <is>
          <t>BE-016 – Búsqueda y filtrado de restaurantes</t>
        </is>
      </c>
      <c r="D27" s="233" t="n"/>
      <c r="E27" s="12" t="inlineStr">
        <is>
          <t>x</t>
        </is>
      </c>
      <c r="F27" s="12" t="n"/>
      <c r="G27" s="104" t="n"/>
      <c r="H27" s="104" t="n"/>
      <c r="J27" s="57" t="n"/>
      <c r="K27" s="58" t="n"/>
    </row>
    <row r="28" ht="15.75" customHeight="1" s="215">
      <c r="B28" s="101" t="n">
        <v>17</v>
      </c>
      <c r="C28" s="232" t="inlineStr">
        <is>
          <t>BE-017 – Recordatorios automáticos de reservas por correo en horario laboral</t>
        </is>
      </c>
      <c r="D28" s="233" t="n"/>
      <c r="E28" s="12" t="inlineStr">
        <is>
          <t>x</t>
        </is>
      </c>
      <c r="F28" s="12" t="n"/>
      <c r="G28" s="104" t="n"/>
      <c r="H28" s="104" t="n"/>
      <c r="J28" s="57" t="n"/>
      <c r="K28" s="58" t="n"/>
    </row>
    <row r="29" ht="15.75" customHeight="1" s="215">
      <c r="B29" s="101" t="n">
        <v>18</v>
      </c>
      <c r="C29" s="232" t="inlineStr">
        <is>
          <t>BE-018 – Creación conjunta de factura y reserva en una sola operación</t>
        </is>
      </c>
      <c r="D29" s="233" t="n"/>
      <c r="E29" s="12" t="inlineStr">
        <is>
          <t>x</t>
        </is>
      </c>
      <c r="F29" s="12" t="n"/>
      <c r="G29" s="104" t="n"/>
      <c r="H29" s="104" t="n"/>
      <c r="J29" s="57" t="n"/>
      <c r="K29" s="58" t="n"/>
    </row>
    <row r="30" ht="15.75" customHeight="1" s="215">
      <c r="B30" s="101" t="n">
        <v>19</v>
      </c>
      <c r="C30" s="232" t="inlineStr">
        <is>
          <t>BE-019 – Confirmación de reserva condicionada al pago aprobado en Wompi</t>
        </is>
      </c>
      <c r="D30" s="233" t="n"/>
      <c r="E30" s="12" t="inlineStr">
        <is>
          <t>x</t>
        </is>
      </c>
      <c r="F30" s="12" t="n"/>
      <c r="G30" s="104" t="n"/>
      <c r="H30" s="104" t="n"/>
      <c r="J30" s="57" t="n"/>
      <c r="K30" s="58" t="n"/>
    </row>
    <row r="31" ht="15.75" customHeight="1" s="215">
      <c r="B31" s="101" t="n">
        <v>20</v>
      </c>
      <c r="C31" s="232" t="inlineStr">
        <is>
          <t>BE-020 – Configuración de correo empresarial por usuario con consentimiento y cifrado</t>
        </is>
      </c>
      <c r="D31" s="233" t="n"/>
      <c r="E31" s="12" t="inlineStr">
        <is>
          <t>x</t>
        </is>
      </c>
      <c r="F31" s="12" t="n"/>
      <c r="G31" s="104" t="n"/>
      <c r="H31" s="104" t="n"/>
      <c r="J31" s="57" t="n"/>
      <c r="K31" s="58" t="n"/>
    </row>
    <row r="32" ht="15.75" customHeight="1" s="215">
      <c r="B32" s="101" t="n">
        <v>21</v>
      </c>
      <c r="C32" s="232" t="inlineStr">
        <is>
          <t>BE-021 – Archivado y consulta de correos recibidos vía IMAP</t>
        </is>
      </c>
      <c r="D32" s="233" t="n"/>
      <c r="E32" s="12" t="inlineStr">
        <is>
          <t>x</t>
        </is>
      </c>
      <c r="F32" s="12" t="n"/>
      <c r="G32" s="104" t="n"/>
      <c r="H32" s="104" t="n"/>
      <c r="J32" s="57" t="n"/>
      <c r="K32" s="58" t="n"/>
    </row>
    <row r="33" ht="15.75" customHeight="1" s="215">
      <c r="B33" s="101" t="n">
        <v>22</v>
      </c>
      <c r="C33" s="232" t="inlineStr">
        <is>
          <t>BE-022 – Gestión persistente de sesiones y tokens de actualización (refresh tokens)</t>
        </is>
      </c>
      <c r="D33" s="233" t="n"/>
      <c r="E33" s="12" t="inlineStr">
        <is>
          <t>x</t>
        </is>
      </c>
      <c r="F33" s="12" t="n"/>
      <c r="G33" s="104" t="n"/>
      <c r="H33" s="104" t="n"/>
      <c r="J33" s="57" t="n"/>
      <c r="K33" s="58" t="n"/>
    </row>
    <row r="34" ht="15.75" customHeight="1" s="215">
      <c r="B34" s="101" t="n">
        <v>23</v>
      </c>
      <c r="C34" s="232" t="inlineStr">
        <is>
          <t>BE-001A – Restricción única por combinación mesa-fecha-horario</t>
        </is>
      </c>
      <c r="D34" s="233" t="n"/>
      <c r="E34" s="12" t="inlineStr">
        <is>
          <t>x</t>
        </is>
      </c>
      <c r="F34" s="12" t="n"/>
      <c r="G34" s="104" t="n"/>
      <c r="H34" s="104" t="n"/>
      <c r="J34" s="57" t="n"/>
      <c r="K34" s="58" t="n"/>
    </row>
    <row r="35" ht="15.75" customHeight="1" s="215">
      <c r="B35" s="101" t="n">
        <v>24</v>
      </c>
      <c r="C35" s="232" t="inlineStr">
        <is>
          <t>BE-001B – Validación de disponibilidad desde función almacenada de reserva</t>
        </is>
      </c>
      <c r="D35" s="233" t="n"/>
      <c r="E35" s="12" t="inlineStr">
        <is>
          <t>x</t>
        </is>
      </c>
      <c r="F35" s="12" t="n"/>
      <c r="G35" s="104" t="n"/>
      <c r="H35" s="104" t="n"/>
      <c r="J35" s="57" t="n"/>
      <c r="K35" s="58" t="n"/>
    </row>
    <row r="36" ht="15.75" customHeight="1" s="215">
      <c r="B36" s="101" t="n">
        <v>25</v>
      </c>
      <c r="C36" s="232" t="inlineStr">
        <is>
          <t>BE-002A – Emisión de tokens de acceso y refresco al iniciar sesión</t>
        </is>
      </c>
      <c r="D36" s="233" t="n"/>
      <c r="E36" s="12" t="inlineStr">
        <is>
          <t>x</t>
        </is>
      </c>
      <c r="F36" s="12" t="n"/>
      <c r="G36" s="104" t="n"/>
      <c r="H36" s="104" t="n"/>
      <c r="J36" s="57" t="n"/>
      <c r="K36" s="58" t="n"/>
    </row>
    <row r="37" ht="15.75" customHeight="1" s="215">
      <c r="B37" s="101" t="n">
        <v>26</v>
      </c>
      <c r="C37" s="232" t="inlineStr">
        <is>
          <t>BE-002B – Verificación centralizada del token en rutas protegidas</t>
        </is>
      </c>
      <c r="D37" s="233" t="n"/>
      <c r="E37" s="12" t="inlineStr">
        <is>
          <t>x</t>
        </is>
      </c>
      <c r="F37" s="12" t="n"/>
      <c r="G37" s="104" t="n"/>
      <c r="H37" s="104" t="n"/>
      <c r="J37" s="57" t="n"/>
      <c r="K37" s="58" t="n"/>
    </row>
    <row r="38" ht="15.75" customHeight="1" s="215">
      <c r="B38" s="101" t="n">
        <v>27</v>
      </c>
      <c r="C38" s="232" t="inlineStr">
        <is>
          <t>BE-005A – Envío de correos desde formulario de contacto público</t>
        </is>
      </c>
      <c r="D38" s="233" t="n"/>
      <c r="E38" s="12" t="inlineStr">
        <is>
          <t>x</t>
        </is>
      </c>
      <c r="F38" s="12" t="n"/>
      <c r="G38" s="104" t="n"/>
      <c r="H38" s="104" t="n"/>
      <c r="J38" s="57" t="n"/>
      <c r="K38" s="58" t="n"/>
    </row>
    <row r="39" ht="15.75" customHeight="1" s="215">
      <c r="B39" s="101" t="n">
        <v>28</v>
      </c>
      <c r="C39" s="232" t="inlineStr">
        <is>
          <t>BE-005B – Recordatorios automáticos de reserva a partir de la hora actual</t>
        </is>
      </c>
      <c r="D39" s="233" t="n"/>
      <c r="E39" s="12" t="inlineStr">
        <is>
          <t>x</t>
        </is>
      </c>
      <c r="F39" s="12" t="n"/>
      <c r="G39" s="104" t="n"/>
      <c r="H39" s="104" t="n"/>
      <c r="J39" s="57" t="n"/>
      <c r="K39" s="58" t="n"/>
    </row>
    <row r="40" ht="15.75" customHeight="1" s="215">
      <c r="B40" s="101" t="n">
        <v>29</v>
      </c>
      <c r="C40" s="232" t="inlineStr">
        <is>
          <t>BE-006A – Cálculo mensual agregado de reservas, ingresos y clientes</t>
        </is>
      </c>
      <c r="D40" s="233" t="n"/>
      <c r="E40" s="12" t="inlineStr">
        <is>
          <t>x</t>
        </is>
      </c>
      <c r="F40" s="12" t="n"/>
      <c r="G40" s="104" t="n"/>
      <c r="H40" s="104" t="n"/>
      <c r="J40" s="57" t="n"/>
      <c r="K40" s="58" t="n"/>
    </row>
    <row r="41" ht="15.75" customHeight="1" s="215">
      <c r="B41" s="101" t="n">
        <v>30</v>
      </c>
      <c r="C41" s="232" t="inlineStr">
        <is>
          <t>BE-007A – Asignación y cambio de administrador por restaurante</t>
        </is>
      </c>
      <c r="D41" s="233" t="n"/>
      <c r="E41" s="12" t="inlineStr">
        <is>
          <t>x</t>
        </is>
      </c>
      <c r="F41" s="12" t="n"/>
      <c r="G41" s="104" t="n"/>
      <c r="H41" s="104" t="n"/>
      <c r="J41" s="57" t="n"/>
      <c r="K41" s="58" t="n"/>
    </row>
    <row r="42" ht="15.75" customHeight="1" s="215">
      <c r="B42" s="101" t="n">
        <v>31</v>
      </c>
      <c r="C42" s="232" t="inlineStr">
        <is>
          <t>BE-008A – Limitación de longitud del motivo de cancelación</t>
        </is>
      </c>
      <c r="D42" s="233" t="n"/>
      <c r="E42" s="12" t="inlineStr">
        <is>
          <t>x</t>
        </is>
      </c>
      <c r="F42" s="12" t="n"/>
      <c r="G42" s="104" t="n"/>
      <c r="H42" s="104" t="n"/>
      <c r="J42" s="57" t="n"/>
      <c r="K42" s="58" t="n"/>
    </row>
    <row r="43" ht="15.75" customHeight="1" s="215">
      <c r="B43" s="101" t="n">
        <v>32</v>
      </c>
      <c r="C43" s="232" t="inlineStr">
        <is>
          <t>BE-009A – Validación de integridad de webhooks de Wompi</t>
        </is>
      </c>
      <c r="D43" s="233" t="n"/>
      <c r="E43" s="12" t="inlineStr">
        <is>
          <t>x</t>
        </is>
      </c>
      <c r="F43" s="12" t="n"/>
      <c r="G43" s="104" t="n"/>
      <c r="H43" s="104" t="n"/>
      <c r="J43" s="57" t="n"/>
      <c r="K43" s="58" t="n"/>
    </row>
    <row r="44" ht="15.75" customHeight="1" s="215">
      <c r="B44" s="101" t="n">
        <v>33</v>
      </c>
      <c r="C44" s="232" t="inlineStr">
        <is>
          <t>BE-010A – Asociación de facturas con restaurantes y clientes vía claves foráneas</t>
        </is>
      </c>
      <c r="D44" s="233" t="n"/>
      <c r="E44" s="12" t="inlineStr">
        <is>
          <t>x</t>
        </is>
      </c>
      <c r="F44" s="12" t="n"/>
      <c r="G44" s="104" t="n"/>
      <c r="H44" s="104" t="n"/>
      <c r="J44" s="57" t="n"/>
      <c r="K44" s="58" t="n"/>
    </row>
    <row r="45" ht="15.75" customHeight="1" s="215">
      <c r="B45" s="101" t="n">
        <v>34</v>
      </c>
      <c r="C45" s="232" t="inlineStr">
        <is>
          <t>BE-011A – Auditoría específica de inserciones, actualizaciones y borrados</t>
        </is>
      </c>
      <c r="D45" s="233" t="n"/>
      <c r="E45" s="12" t="inlineStr">
        <is>
          <t>x</t>
        </is>
      </c>
      <c r="F45" s="12" t="n"/>
      <c r="G45" s="104" t="n"/>
      <c r="H45" s="104" t="n"/>
      <c r="J45" s="57" t="n"/>
      <c r="K45" s="58" t="n"/>
    </row>
    <row r="46" ht="15.75" customHeight="1" s="215">
      <c r="B46" s="101" t="n">
        <v>35</v>
      </c>
      <c r="C46" s="232" t="inlineStr">
        <is>
          <t>BE-012A – Validación de horarios de apertura y cierre de restaurante</t>
        </is>
      </c>
      <c r="D46" s="233" t="n"/>
      <c r="E46" s="12" t="inlineStr">
        <is>
          <t>x</t>
        </is>
      </c>
      <c r="F46" s="12" t="n"/>
      <c r="G46" s="104" t="n"/>
      <c r="H46" s="104" t="n"/>
      <c r="J46" s="57" t="n"/>
      <c r="K46" s="58" t="n"/>
    </row>
    <row r="47" ht="15.75" customHeight="1" s="215">
      <c r="B47" s="101" t="n">
        <v>36</v>
      </c>
      <c r="C47" s="232" t="inlineStr">
        <is>
          <t>BE-016A – Búsqueda de restaurantes desde el backend con similitud de texto</t>
        </is>
      </c>
      <c r="D47" s="233" t="n"/>
      <c r="E47" s="12" t="inlineStr">
        <is>
          <t>x</t>
        </is>
      </c>
      <c r="F47" s="12" t="n"/>
      <c r="G47" s="104" t="n"/>
      <c r="H47" s="104" t="n"/>
      <c r="J47" s="57" t="n"/>
      <c r="K47" s="58" t="n"/>
    </row>
    <row r="48" ht="15.75" customHeight="1" s="215">
      <c r="B48" s="101" t="n">
        <v>37</v>
      </c>
      <c r="C48" s="232" t="inlineStr">
        <is>
          <t>BE-023A – POST /credenciales/login</t>
        </is>
      </c>
      <c r="D48" s="233" t="n"/>
      <c r="E48" s="12" t="inlineStr">
        <is>
          <t>x</t>
        </is>
      </c>
      <c r="F48" s="12" t="n"/>
      <c r="G48" s="104" t="n"/>
      <c r="H48" s="104" t="n"/>
      <c r="J48" s="57" t="n"/>
      <c r="K48" s="58" t="n"/>
    </row>
    <row r="49" ht="15.75" customHeight="1" s="215">
      <c r="B49" s="101" t="n">
        <v>38</v>
      </c>
      <c r="C49" s="232" t="inlineStr">
        <is>
          <t>BE-023B – POST /credenciales/refresh</t>
        </is>
      </c>
      <c r="D49" s="233" t="n"/>
      <c r="E49" s="12" t="inlineStr">
        <is>
          <t>x</t>
        </is>
      </c>
      <c r="F49" s="12" t="n"/>
      <c r="G49" s="104" t="n"/>
      <c r="H49" s="104" t="n"/>
      <c r="J49" s="57" t="n"/>
      <c r="K49" s="58" t="n"/>
    </row>
    <row r="50" ht="15.75" customHeight="1" s="215">
      <c r="B50" s="101" t="n">
        <v>39</v>
      </c>
      <c r="C50" s="232" t="inlineStr">
        <is>
          <t>BE-023C – GET /credenciales/me/role</t>
        </is>
      </c>
      <c r="D50" s="233" t="n"/>
      <c r="E50" s="12" t="inlineStr">
        <is>
          <t>x</t>
        </is>
      </c>
      <c r="F50" s="12" t="n"/>
      <c r="G50" s="104" t="n"/>
      <c r="H50" s="104" t="n"/>
      <c r="J50" s="57" t="n"/>
      <c r="K50" s="58" t="n"/>
    </row>
    <row r="51" ht="15.75" customHeight="1" s="215">
      <c r="B51" s="101" t="n">
        <v>40</v>
      </c>
      <c r="C51" s="232" t="inlineStr">
        <is>
          <t>BE-023D – PUT /credenciales/editarcredencial</t>
        </is>
      </c>
      <c r="D51" s="233" t="n"/>
      <c r="E51" s="12" t="inlineStr">
        <is>
          <t>x</t>
        </is>
      </c>
      <c r="F51" s="12" t="n"/>
      <c r="G51" s="104" t="n"/>
      <c r="H51" s="104" t="n"/>
      <c r="J51" s="57" t="n"/>
      <c r="K51" s="58" t="n"/>
    </row>
    <row r="52" ht="15.75" customHeight="1" s="215">
      <c r="B52" s="101" t="n">
        <v>41</v>
      </c>
      <c r="C52" s="232" t="inlineStr">
        <is>
          <t>BE-023E – DELETE /credenciales/borrarcredencial</t>
        </is>
      </c>
      <c r="D52" s="233" t="n"/>
      <c r="E52" s="12" t="inlineStr">
        <is>
          <t>x</t>
        </is>
      </c>
      <c r="F52" s="12" t="n"/>
      <c r="G52" s="104" t="n"/>
      <c r="H52" s="104" t="n"/>
      <c r="J52" s="57" t="n"/>
      <c r="K52" s="58" t="n"/>
    </row>
    <row r="53" ht="15.75" customHeight="1" s="215">
      <c r="B53" s="101" t="n">
        <v>42</v>
      </c>
      <c r="C53" s="232" t="inlineStr">
        <is>
          <t>BE-024A – POST /admin/insertaroles</t>
        </is>
      </c>
      <c r="D53" s="233" t="n"/>
      <c r="E53" s="12" t="inlineStr">
        <is>
          <t>x</t>
        </is>
      </c>
      <c r="F53" s="12" t="n"/>
      <c r="G53" s="104" t="n"/>
      <c r="H53" s="104" t="n"/>
      <c r="J53" s="57" t="n"/>
      <c r="K53" s="58" t="n"/>
    </row>
    <row r="54" ht="15.75" customHeight="1" s="215">
      <c r="B54" s="101" t="n">
        <v>43</v>
      </c>
      <c r="C54" s="232" t="inlineStr">
        <is>
          <t>BE-024B – GET /admin/listar_roles</t>
        </is>
      </c>
      <c r="D54" s="233" t="n"/>
      <c r="E54" s="12" t="inlineStr">
        <is>
          <t>x</t>
        </is>
      </c>
      <c r="F54" s="12" t="n"/>
      <c r="G54" s="104" t="n"/>
      <c r="H54" s="104" t="n"/>
      <c r="J54" s="57" t="n"/>
      <c r="K54" s="58" t="n"/>
    </row>
    <row r="55" ht="15.75" customHeight="1" s="215">
      <c r="B55" s="101" t="n">
        <v>44</v>
      </c>
      <c r="C55" s="232" t="inlineStr">
        <is>
          <t>BE-025A – POST /usuario/insertar</t>
        </is>
      </c>
      <c r="D55" s="233" t="n"/>
      <c r="E55" s="12" t="inlineStr">
        <is>
          <t>x</t>
        </is>
      </c>
      <c r="F55" s="12" t="n"/>
      <c r="G55" s="104" t="n"/>
      <c r="H55" s="104" t="n"/>
      <c r="J55" s="57" t="n"/>
      <c r="K55" s="58" t="n"/>
    </row>
    <row r="56" ht="15.75" customHeight="1" s="215">
      <c r="B56" s="101" t="n">
        <v>45</v>
      </c>
      <c r="C56" s="232" t="inlineStr">
        <is>
          <t>BE-025B – GET /usuario/listar_usuarios</t>
        </is>
      </c>
      <c r="D56" s="233" t="n"/>
      <c r="E56" s="12" t="inlineStr">
        <is>
          <t>x</t>
        </is>
      </c>
      <c r="F56" s="12" t="n"/>
      <c r="G56" s="104" t="n"/>
      <c r="H56" s="104" t="n"/>
      <c r="J56" s="57" t="n"/>
      <c r="K56" s="58" t="n"/>
    </row>
    <row r="57" ht="15.75" customHeight="1" s="215">
      <c r="B57" s="101" t="n">
        <v>46</v>
      </c>
      <c r="C57" s="232" t="inlineStr">
        <is>
          <t>BE-025C – PUT /usuario/editar</t>
        </is>
      </c>
      <c r="D57" s="233" t="n"/>
      <c r="E57" s="12" t="inlineStr">
        <is>
          <t>x</t>
        </is>
      </c>
      <c r="F57" s="12" t="n"/>
      <c r="G57" s="104" t="n"/>
      <c r="H57" s="104" t="n"/>
      <c r="J57" s="57" t="n"/>
      <c r="K57" s="58" t="n"/>
    </row>
    <row r="58" ht="15.75" customHeight="1" s="215">
      <c r="B58" s="101" t="n">
        <v>47</v>
      </c>
      <c r="C58" s="232" t="inlineStr">
        <is>
          <t>BE-026A – GET /restaurante/{restaurante_uid}</t>
        </is>
      </c>
      <c r="D58" s="233" t="n"/>
      <c r="E58" s="12" t="inlineStr">
        <is>
          <t>x</t>
        </is>
      </c>
      <c r="F58" s="12" t="n"/>
      <c r="G58" s="104" t="n"/>
      <c r="H58" s="104" t="n"/>
      <c r="J58" s="57" t="n"/>
      <c r="K58" s="58" t="n"/>
    </row>
    <row r="59" ht="15.75" customHeight="1" s="215">
      <c r="B59" s="101" t="n">
        <v>48</v>
      </c>
      <c r="C59" s="232" t="inlineStr">
        <is>
          <t>BE-026B – POST /restaurante/insertarrestaurante</t>
        </is>
      </c>
      <c r="D59" s="233" t="n"/>
      <c r="E59" s="12" t="inlineStr">
        <is>
          <t>x</t>
        </is>
      </c>
      <c r="F59" s="12" t="n"/>
      <c r="G59" s="104" t="n"/>
      <c r="H59" s="104" t="n"/>
      <c r="J59" s="57" t="n"/>
      <c r="K59" s="58" t="n"/>
    </row>
    <row r="60" ht="15.75" customHeight="1" s="215">
      <c r="B60" s="101" t="n">
        <v>49</v>
      </c>
      <c r="C60" s="232" t="inlineStr">
        <is>
          <t>BE-026C – GET /restaurante/listar_restaurantes</t>
        </is>
      </c>
      <c r="D60" s="233" t="n"/>
      <c r="E60" s="12" t="inlineStr">
        <is>
          <t>x</t>
        </is>
      </c>
      <c r="F60" s="12" t="n"/>
      <c r="G60" s="104" t="n"/>
      <c r="H60" s="104" t="n"/>
      <c r="J60" s="57" t="n"/>
      <c r="K60" s="58" t="n"/>
    </row>
    <row r="61" ht="15.75" customHeight="1" s="215">
      <c r="B61" s="101" t="n">
        <v>50</v>
      </c>
      <c r="C61" s="232" t="inlineStr">
        <is>
          <t>BE-026D – PUT /restaurante/editarrestaurante</t>
        </is>
      </c>
      <c r="D61" s="233" t="n"/>
      <c r="E61" s="12" t="inlineStr">
        <is>
          <t>x</t>
        </is>
      </c>
      <c r="F61" s="12" t="n"/>
      <c r="G61" s="104" t="n"/>
      <c r="H61" s="104" t="n"/>
      <c r="J61" s="57" t="n"/>
      <c r="K61" s="58" t="n"/>
    </row>
    <row r="62" ht="15.75" customHeight="1" s="215">
      <c r="B62" s="101" t="n">
        <v>51</v>
      </c>
      <c r="C62" s="232" t="inlineStr">
        <is>
          <t>BE-027A – GET /mesas/restaurante/{restaurante_uid}</t>
        </is>
      </c>
      <c r="D62" s="233" t="n"/>
      <c r="E62" s="12" t="inlineStr">
        <is>
          <t>x</t>
        </is>
      </c>
      <c r="F62" s="12" t="n"/>
      <c r="G62" s="104" t="n"/>
      <c r="H62" s="104" t="n"/>
      <c r="J62" s="57" t="n"/>
      <c r="K62" s="58" t="n"/>
    </row>
    <row r="63" ht="15.75" customHeight="1" s="215">
      <c r="B63" s="101" t="n">
        <v>52</v>
      </c>
      <c r="C63" s="232" t="inlineStr">
        <is>
          <t>BE-027B – POST /mesas/insertarmesas</t>
        </is>
      </c>
      <c r="D63" s="233" t="n"/>
      <c r="E63" s="12" t="inlineStr">
        <is>
          <t>x</t>
        </is>
      </c>
      <c r="F63" s="12" t="n"/>
      <c r="G63" s="104" t="n"/>
      <c r="H63" s="104" t="n"/>
      <c r="J63" s="57" t="n"/>
      <c r="K63" s="58" t="n"/>
    </row>
    <row r="64" ht="15.75" customHeight="1" s="215">
      <c r="B64" s="101" t="n">
        <v>53</v>
      </c>
      <c r="C64" s="232" t="inlineStr">
        <is>
          <t>BE-027C – PUT /mesas/editarmesas</t>
        </is>
      </c>
      <c r="D64" s="233" t="n"/>
      <c r="E64" s="12" t="inlineStr">
        <is>
          <t>x</t>
        </is>
      </c>
      <c r="F64" s="12" t="n"/>
      <c r="G64" s="104" t="n"/>
      <c r="H64" s="104" t="n"/>
      <c r="J64" s="57" t="n"/>
      <c r="K64" s="58" t="n"/>
    </row>
    <row r="65" ht="15.75" customHeight="1" s="215">
      <c r="B65" s="101" t="n">
        <v>54</v>
      </c>
      <c r="C65" s="232" t="inlineStr">
        <is>
          <t>BE-028A – GET /cliente/mi-perfil</t>
        </is>
      </c>
      <c r="D65" s="233" t="n"/>
      <c r="E65" s="12" t="inlineStr">
        <is>
          <t>x</t>
        </is>
      </c>
      <c r="F65" s="12" t="n"/>
      <c r="G65" s="104" t="n"/>
      <c r="H65" s="104" t="n"/>
      <c r="J65" s="57" t="n"/>
      <c r="K65" s="58" t="n"/>
    </row>
    <row r="66" ht="15.75" customHeight="1" s="215">
      <c r="B66" s="101" t="n">
        <v>55</v>
      </c>
      <c r="C66" s="232" t="inlineStr">
        <is>
          <t>BE-028B – GET /cliente/mis-reservas</t>
        </is>
      </c>
      <c r="D66" s="233" t="n"/>
      <c r="E66" s="12" t="inlineStr">
        <is>
          <t>x</t>
        </is>
      </c>
      <c r="F66" s="12" t="n"/>
      <c r="G66" s="104" t="n"/>
      <c r="H66" s="104" t="n"/>
      <c r="J66" s="57" t="n"/>
      <c r="K66" s="58" t="n"/>
    </row>
    <row r="67" ht="15.75" customHeight="1" s="215">
      <c r="B67" s="101" t="n">
        <v>56</v>
      </c>
      <c r="C67" s="232" t="inlineStr">
        <is>
          <t>BE-028C – PATCH /cliente/mis-reservas/{id_reserva}/cancelar</t>
        </is>
      </c>
      <c r="D67" s="233" t="n"/>
      <c r="E67" s="12" t="inlineStr">
        <is>
          <t>x</t>
        </is>
      </c>
      <c r="F67" s="12" t="n"/>
      <c r="G67" s="104" t="n"/>
      <c r="H67" s="104" t="n"/>
      <c r="J67" s="57" t="n"/>
      <c r="K67" s="58" t="n"/>
    </row>
    <row r="68" ht="15.75" customHeight="1" s="215">
      <c r="B68" s="101" t="n">
        <v>57</v>
      </c>
      <c r="C68" s="232" t="inlineStr">
        <is>
          <t>BE-029A – POST /encabezado_factura/insertarencabezadofactura</t>
        </is>
      </c>
      <c r="D68" s="233" t="n"/>
      <c r="E68" s="12" t="inlineStr">
        <is>
          <t>x</t>
        </is>
      </c>
      <c r="F68" s="12" t="n"/>
      <c r="G68" s="104" t="n"/>
      <c r="H68" s="104" t="n"/>
      <c r="J68" s="57" t="n"/>
      <c r="K68" s="58" t="n"/>
    </row>
    <row r="69" ht="15.75" customHeight="1" s="215">
      <c r="B69" s="101" t="n">
        <v>58</v>
      </c>
      <c r="C69" s="232" t="inlineStr">
        <is>
          <t>BE-029B – GET /encabezado_factura/listar_encabezados_factura</t>
        </is>
      </c>
      <c r="D69" s="233" t="n"/>
      <c r="E69" s="12" t="inlineStr">
        <is>
          <t>x</t>
        </is>
      </c>
      <c r="F69" s="12" t="n"/>
      <c r="G69" s="104" t="n"/>
      <c r="H69" s="104" t="n"/>
      <c r="J69" s="57" t="n"/>
      <c r="K69" s="58" t="n"/>
    </row>
    <row r="70" ht="15.75" customHeight="1" s="215">
      <c r="B70" s="101" t="n">
        <v>59</v>
      </c>
      <c r="C70" s="232" t="inlineStr">
        <is>
          <t>BE-030A – POST /detalle_factura/insertardetallefactura</t>
        </is>
      </c>
      <c r="D70" s="233" t="n"/>
      <c r="E70" s="12" t="inlineStr">
        <is>
          <t>x</t>
        </is>
      </c>
      <c r="F70" s="12" t="n"/>
      <c r="G70" s="104" t="n"/>
      <c r="H70" s="104" t="n"/>
      <c r="J70" s="57" t="n"/>
      <c r="K70" s="58" t="n"/>
    </row>
    <row r="71" ht="15.75" customHeight="1" s="215">
      <c r="B71" s="101" t="n">
        <v>60</v>
      </c>
      <c r="C71" s="232" t="inlineStr">
        <is>
          <t>BE-030B – GET /detalle_factura/listar_detalles_factura</t>
        </is>
      </c>
      <c r="D71" s="233" t="n"/>
      <c r="E71" s="12" t="inlineStr">
        <is>
          <t>x</t>
        </is>
      </c>
      <c r="F71" s="12" t="n"/>
      <c r="G71" s="104" t="n"/>
      <c r="H71" s="104" t="n"/>
      <c r="J71" s="57" t="n"/>
      <c r="K71" s="58" t="n"/>
    </row>
    <row r="72" ht="15.75" customHeight="1" s="215">
      <c r="B72" s="101" t="n">
        <v>61</v>
      </c>
      <c r="C72" s="232" t="inlineStr">
        <is>
          <t>BE-031A – GET /comentarios/restaurante/{restaurante_uid}</t>
        </is>
      </c>
      <c r="D72" s="233" t="n"/>
      <c r="E72" s="12" t="inlineStr">
        <is>
          <t>x</t>
        </is>
      </c>
      <c r="F72" s="12" t="n"/>
      <c r="G72" s="104" t="n"/>
      <c r="H72" s="104" t="n"/>
      <c r="J72" s="57" t="n"/>
      <c r="K72" s="58" t="n"/>
    </row>
    <row r="73" ht="15.75" customHeight="1" s="215">
      <c r="B73" s="101" t="n">
        <v>62</v>
      </c>
      <c r="C73" s="232" t="inlineStr">
        <is>
          <t>BE-031B – POST /comentarios/crear</t>
        </is>
      </c>
      <c r="D73" s="233" t="n"/>
      <c r="E73" s="12" t="inlineStr">
        <is>
          <t>x</t>
        </is>
      </c>
      <c r="F73" s="12" t="n"/>
      <c r="G73" s="104" t="n"/>
      <c r="H73" s="104" t="n"/>
      <c r="J73" s="57" t="n"/>
      <c r="K73" s="58" t="n"/>
    </row>
    <row r="74" ht="15.75" customHeight="1" s="215">
      <c r="B74" s="101" t="n">
        <v>63</v>
      </c>
      <c r="C74" s="232" t="inlineStr">
        <is>
          <t>BE-031C – POST /comentarios/insertarcomentario</t>
        </is>
      </c>
      <c r="D74" s="233" t="n"/>
      <c r="E74" s="12" t="inlineStr">
        <is>
          <t>x</t>
        </is>
      </c>
      <c r="F74" s="12" t="n"/>
      <c r="G74" s="104" t="n"/>
      <c r="H74" s="104" t="n"/>
      <c r="J74" s="57" t="n"/>
      <c r="K74" s="58" t="n"/>
    </row>
    <row r="75" ht="15.75" customHeight="1" s="215">
      <c r="B75" s="101" t="n">
        <v>64</v>
      </c>
      <c r="C75" s="232" t="inlineStr">
        <is>
          <t>BE-032A – POST /calculos_mensuales/insertar_calculo_mensual</t>
        </is>
      </c>
      <c r="D75" s="233" t="n"/>
      <c r="E75" s="12" t="inlineStr">
        <is>
          <t>x</t>
        </is>
      </c>
      <c r="F75" s="12" t="n"/>
      <c r="G75" s="104" t="n"/>
      <c r="H75" s="104" t="n"/>
      <c r="J75" s="57" t="n"/>
      <c r="K75" s="58" t="n"/>
    </row>
    <row r="76" ht="15.75" customHeight="1" s="215">
      <c r="B76" s="101" t="n">
        <v>65</v>
      </c>
      <c r="C76" s="232" t="inlineStr">
        <is>
          <t>BE-032B – GET /calculos_mensuales/listar_calculos_mensuales</t>
        </is>
      </c>
      <c r="D76" s="233" t="n"/>
      <c r="E76" s="12" t="inlineStr">
        <is>
          <t>x</t>
        </is>
      </c>
      <c r="F76" s="12" t="n"/>
      <c r="G76" s="104" t="n"/>
      <c r="H76" s="104" t="n"/>
      <c r="J76" s="57" t="n"/>
      <c r="K76" s="58" t="n"/>
    </row>
    <row r="77" ht="15.75" customHeight="1" s="215">
      <c r="B77" s="101" t="n">
        <v>66</v>
      </c>
      <c r="C77" s="232" t="inlineStr">
        <is>
          <t>BE-033 – POST /facturas/reservar</t>
        </is>
      </c>
      <c r="D77" s="233" t="n"/>
      <c r="E77" s="12" t="inlineStr">
        <is>
          <t>x</t>
        </is>
      </c>
      <c r="F77" s="12" t="n"/>
      <c r="G77" s="104" t="n"/>
      <c r="H77" s="104" t="n"/>
      <c r="J77" s="57" t="n"/>
      <c r="K77" s="58" t="n"/>
    </row>
    <row r="78" ht="15.75" customHeight="1" s="215">
      <c r="B78" s="101" t="n">
        <v>67</v>
      </c>
      <c r="C78" s="232" t="inlineStr">
        <is>
          <t>BE-034 – POST /register/register</t>
        </is>
      </c>
      <c r="D78" s="233" t="n"/>
      <c r="E78" s="12" t="inlineStr">
        <is>
          <t>x</t>
        </is>
      </c>
      <c r="F78" s="12" t="n"/>
      <c r="G78" s="104" t="n"/>
      <c r="H78" s="104" t="n"/>
      <c r="J78" s="57" t="n"/>
      <c r="K78" s="58" t="n"/>
    </row>
    <row r="79" ht="15.75" customHeight="1" s="215">
      <c r="B79" s="101" t="n">
        <v>68</v>
      </c>
      <c r="C79" s="232" t="inlineStr">
        <is>
          <t>BE-035A – GET /data-owner/metricas</t>
        </is>
      </c>
      <c r="D79" s="233" t="n"/>
      <c r="E79" s="12" t="inlineStr">
        <is>
          <t>x</t>
        </is>
      </c>
      <c r="F79" s="12" t="n"/>
      <c r="G79" s="104" t="n"/>
      <c r="H79" s="104" t="n"/>
      <c r="J79" s="57" t="n"/>
      <c r="K79" s="58" t="n"/>
    </row>
    <row r="80" ht="15.75" customHeight="1" s="215">
      <c r="B80" s="101" t="n">
        <v>69</v>
      </c>
      <c r="C80" s="232" t="inlineStr">
        <is>
          <t>BE-035B – GET /data-owner/flujo-diario</t>
        </is>
      </c>
      <c r="D80" s="233" t="n"/>
      <c r="E80" s="12" t="inlineStr">
        <is>
          <t>x</t>
        </is>
      </c>
      <c r="F80" s="12" t="n"/>
      <c r="G80" s="104" t="n"/>
      <c r="H80" s="104" t="n"/>
      <c r="J80" s="57" t="n"/>
      <c r="K80" s="58" t="n"/>
    </row>
    <row r="81" ht="15.75" customHeight="1" s="215">
      <c r="B81" s="101" t="n">
        <v>70</v>
      </c>
      <c r="C81" s="232" t="inlineStr">
        <is>
          <t>BE-035C – GET /data-owner/metricas-mensuales</t>
        </is>
      </c>
      <c r="D81" s="233" t="n"/>
      <c r="E81" s="12" t="inlineStr">
        <is>
          <t>x</t>
        </is>
      </c>
      <c r="F81" s="12" t="n"/>
      <c r="G81" s="104" t="n"/>
      <c r="H81" s="104" t="n"/>
      <c r="J81" s="57" t="n"/>
      <c r="K81" s="58" t="n"/>
    </row>
    <row r="82" ht="15.75" customHeight="1" s="215">
      <c r="B82" s="101" t="n">
        <v>71</v>
      </c>
      <c r="C82" s="232" t="inlineStr">
        <is>
          <t>BE-035D – GET /data-owner/clientes</t>
        </is>
      </c>
      <c r="D82" s="233" t="n"/>
      <c r="E82" s="12" t="inlineStr">
        <is>
          <t>x</t>
        </is>
      </c>
      <c r="F82" s="12" t="n"/>
      <c r="G82" s="104" t="n"/>
      <c r="H82" s="104" t="n"/>
      <c r="J82" s="57" t="n"/>
      <c r="K82" s="58" t="n"/>
    </row>
    <row r="83" ht="15.75" customHeight="1" s="215">
      <c r="B83" s="101" t="n">
        <v>72</v>
      </c>
      <c r="C83" s="232" t="inlineStr">
        <is>
          <t>BE-035E – GET /data-owner/restaurantes</t>
        </is>
      </c>
      <c r="D83" s="233" t="n"/>
      <c r="E83" s="12" t="inlineStr">
        <is>
          <t>x</t>
        </is>
      </c>
      <c r="F83" s="12" t="n"/>
      <c r="G83" s="104" t="n"/>
      <c r="H83" s="104" t="n"/>
      <c r="J83" s="57" t="n"/>
      <c r="K83" s="58" t="n"/>
    </row>
    <row r="84" ht="15.75" customHeight="1" s="215">
      <c r="B84" s="101" t="n">
        <v>73</v>
      </c>
      <c r="C84" s="232" t="inlineStr">
        <is>
          <t>BE-035F – GET /data-owner/restaurantes/{restaurante_uid}</t>
        </is>
      </c>
      <c r="D84" s="233" t="n"/>
      <c r="E84" s="12" t="inlineStr">
        <is>
          <t>x</t>
        </is>
      </c>
      <c r="F84" s="12" t="n"/>
      <c r="G84" s="104" t="n"/>
      <c r="H84" s="104" t="n"/>
      <c r="J84" s="57" t="n"/>
      <c r="K84" s="58" t="n"/>
    </row>
    <row r="85" ht="15.75" customHeight="1" s="215">
      <c r="B85" s="101" t="n">
        <v>74</v>
      </c>
      <c r="C85" s="232" t="inlineStr">
        <is>
          <t>BE-035G – PUT /data-owner/restaurantes/{restaurante_uid}</t>
        </is>
      </c>
      <c r="D85" s="233" t="n"/>
      <c r="E85" s="12" t="inlineStr">
        <is>
          <t>x</t>
        </is>
      </c>
      <c r="F85" s="12" t="n"/>
      <c r="G85" s="104" t="n"/>
      <c r="H85" s="104" t="n"/>
      <c r="J85" s="57" t="n"/>
      <c r="K85" s="58" t="n"/>
    </row>
    <row r="86" ht="15.75" customHeight="1" s="215">
      <c r="B86" s="101" t="n">
        <v>75</v>
      </c>
      <c r="C86" s="232" t="inlineStr">
        <is>
          <t>BE-035H – GET /data-owner/restaurantes/{restaurante_uid}/mesas</t>
        </is>
      </c>
      <c r="D86" s="233" t="n"/>
      <c r="E86" s="12" t="inlineStr">
        <is>
          <t>x</t>
        </is>
      </c>
      <c r="F86" s="12" t="n"/>
      <c r="G86" s="104" t="n"/>
      <c r="H86" s="104" t="n"/>
      <c r="J86" s="57" t="n"/>
      <c r="K86" s="58" t="n"/>
    </row>
    <row r="87" ht="15.75" customHeight="1" s="215">
      <c r="B87" s="101" t="n">
        <v>76</v>
      </c>
      <c r="C87" s="232" t="inlineStr">
        <is>
          <t>BE-035I – POST /data-owner/restaurantes/{restaurante_uid}/mesas</t>
        </is>
      </c>
      <c r="D87" s="233" t="n"/>
      <c r="E87" s="12" t="inlineStr">
        <is>
          <t>x</t>
        </is>
      </c>
      <c r="F87" s="12" t="n"/>
      <c r="G87" s="104" t="n"/>
      <c r="H87" s="104" t="n"/>
      <c r="J87" s="57" t="n"/>
      <c r="K87" s="58" t="n"/>
    </row>
    <row r="88" ht="15.75" customHeight="1" s="215">
      <c r="B88" s="101" t="n">
        <v>77</v>
      </c>
      <c r="C88" s="232" t="inlineStr">
        <is>
          <t>BE-035J – PUT /data-owner/restaurantes/{restaurante_uid}/mesas/{id_mesa}</t>
        </is>
      </c>
      <c r="D88" s="233" t="n"/>
      <c r="E88" s="12" t="inlineStr">
        <is>
          <t>x</t>
        </is>
      </c>
      <c r="F88" s="12" t="n"/>
      <c r="G88" s="104" t="n"/>
      <c r="H88" s="104" t="n"/>
      <c r="J88" s="57" t="n"/>
      <c r="K88" s="58" t="n"/>
    </row>
    <row r="89" ht="15.75" customHeight="1" s="215">
      <c r="B89" s="101" t="n">
        <v>78</v>
      </c>
      <c r="C89" s="232" t="inlineStr">
        <is>
          <t>BE-035K – DELETE /data-owner/restaurantes/{restaurante_uid}/mesas/{id_mesa}</t>
        </is>
      </c>
      <c r="D89" s="233" t="n"/>
      <c r="E89" s="12" t="inlineStr">
        <is>
          <t>x</t>
        </is>
      </c>
      <c r="F89" s="12" t="n"/>
      <c r="G89" s="104" t="n"/>
      <c r="H89" s="104" t="n"/>
      <c r="J89" s="57" t="n"/>
      <c r="K89" s="58" t="n"/>
    </row>
    <row r="90" ht="15.75" customHeight="1" s="215">
      <c r="B90" s="101" t="n">
        <v>79</v>
      </c>
      <c r="C90" s="232" t="inlineStr">
        <is>
          <t>BE-035L – GET /data-owner/restaurantes/{restaurante_uid}/administrador</t>
        </is>
      </c>
      <c r="D90" s="233" t="n"/>
      <c r="E90" s="12" t="inlineStr">
        <is>
          <t>x</t>
        </is>
      </c>
      <c r="F90" s="12" t="n"/>
      <c r="G90" s="104" t="n"/>
      <c r="H90" s="104" t="n"/>
      <c r="J90" s="57" t="n"/>
      <c r="K90" s="58" t="n"/>
    </row>
    <row r="91" ht="15.75" customHeight="1" s="215">
      <c r="B91" s="101" t="n">
        <v>80</v>
      </c>
      <c r="C91" s="232" t="inlineStr">
        <is>
          <t>BE-035M – PUT /data-owner/restaurantes/{restaurante_uid}/administrador</t>
        </is>
      </c>
      <c r="D91" s="233" t="n"/>
      <c r="E91" s="12" t="inlineStr">
        <is>
          <t>x</t>
        </is>
      </c>
      <c r="F91" s="12" t="n"/>
      <c r="G91" s="104" t="n"/>
      <c r="H91" s="104" t="n"/>
      <c r="J91" s="57" t="n"/>
      <c r="K91" s="58" t="n"/>
    </row>
    <row r="92" ht="15.75" customHeight="1" s="215">
      <c r="B92" s="101" t="n">
        <v>81</v>
      </c>
      <c r="C92" s="232" t="inlineStr">
        <is>
          <t>BE-035N – POST /data-owner/restaurantes/{restaurante_uid}/crear-empleado</t>
        </is>
      </c>
      <c r="D92" s="233" t="n"/>
      <c r="E92" s="12" t="inlineStr">
        <is>
          <t>x</t>
        </is>
      </c>
      <c r="F92" s="12" t="n"/>
      <c r="G92" s="104" t="n"/>
      <c r="H92" s="104" t="n"/>
      <c r="J92" s="57" t="n"/>
      <c r="K92" s="58" t="n"/>
    </row>
    <row r="93" ht="15.75" customHeight="1" s="215">
      <c r="B93" s="101" t="n">
        <v>82</v>
      </c>
      <c r="C93" s="232" t="inlineStr">
        <is>
          <t>BE-035O – POST /data-owner/restaurantes/{restaurante_uid}/asignar-empleado</t>
        </is>
      </c>
      <c r="D93" s="233" t="n"/>
      <c r="E93" s="12" t="inlineStr">
        <is>
          <t>x</t>
        </is>
      </c>
      <c r="F93" s="12" t="n"/>
      <c r="G93" s="104" t="n"/>
      <c r="H93" s="104" t="n"/>
      <c r="J93" s="57" t="n"/>
      <c r="K93" s="58" t="n"/>
    </row>
    <row r="94" ht="15.75" customHeight="1" s="215">
      <c r="B94" s="101" t="n">
        <v>83</v>
      </c>
      <c r="C94" s="232" t="inlineStr">
        <is>
          <t>BE-035P – POST /data-owner/cambiar-rol-cliente</t>
        </is>
      </c>
      <c r="D94" s="233" t="n"/>
      <c r="E94" s="12" t="inlineStr">
        <is>
          <t>x</t>
        </is>
      </c>
      <c r="F94" s="12" t="n"/>
      <c r="G94" s="104" t="n"/>
      <c r="H94" s="104" t="n"/>
      <c r="J94" s="57" t="n"/>
      <c r="K94" s="58" t="n"/>
    </row>
    <row r="95" ht="15.75" customHeight="1" s="215">
      <c r="B95" s="101" t="n">
        <v>84</v>
      </c>
      <c r="C95" s="232" t="inlineStr">
        <is>
          <t>BE-035Q – GET /data-owner/restaurantes/{restaurante_uid}/reservas</t>
        </is>
      </c>
      <c r="D95" s="233" t="n"/>
      <c r="E95" s="12" t="inlineStr">
        <is>
          <t>x</t>
        </is>
      </c>
      <c r="F95" s="12" t="n"/>
      <c r="G95" s="104" t="n"/>
      <c r="H95" s="104" t="n"/>
      <c r="J95" s="57" t="n"/>
      <c r="K95" s="58" t="n"/>
    </row>
    <row r="96" ht="15.75" customHeight="1" s="215">
      <c r="B96" s="101" t="n">
        <v>85</v>
      </c>
      <c r="C96" s="232" t="inlineStr">
        <is>
          <t>BE-035R – PATCH /data-owner/reservas/{id_reserva}/estado</t>
        </is>
      </c>
      <c r="D96" s="233" t="n"/>
      <c r="E96" s="12" t="inlineStr">
        <is>
          <t>x</t>
        </is>
      </c>
      <c r="F96" s="12" t="n"/>
      <c r="G96" s="104" t="n"/>
      <c r="H96" s="104" t="n"/>
      <c r="J96" s="57" t="n"/>
      <c r="K96" s="58" t="n"/>
    </row>
    <row r="97" ht="15.75" customHeight="1" s="215">
      <c r="B97" s="101" t="n">
        <v>86</v>
      </c>
      <c r="C97" s="232" t="inlineStr">
        <is>
          <t>BE-035S – GET /data-owner/facturas</t>
        </is>
      </c>
      <c r="D97" s="233" t="n"/>
      <c r="E97" s="12" t="inlineStr">
        <is>
          <t>x</t>
        </is>
      </c>
      <c r="F97" s="12" t="n"/>
      <c r="G97" s="104" t="n"/>
      <c r="H97" s="104" t="n"/>
      <c r="J97" s="57" t="n"/>
      <c r="K97" s="58" t="n"/>
    </row>
    <row r="98" ht="15.75" customHeight="1" s="215">
      <c r="B98" s="101" t="n">
        <v>87</v>
      </c>
      <c r="C98" s="232" t="inlineStr">
        <is>
          <t>BE-035T – GET /data-owner/facturas/{id_encab_fact}</t>
        </is>
      </c>
      <c r="D98" s="233" t="n"/>
      <c r="E98" s="12" t="inlineStr">
        <is>
          <t>x</t>
        </is>
      </c>
      <c r="F98" s="12" t="n"/>
      <c r="G98" s="104" t="n"/>
      <c r="H98" s="104" t="n"/>
      <c r="J98" s="57" t="n"/>
      <c r="K98" s="58" t="n"/>
    </row>
    <row r="99" ht="15.75" customHeight="1" s="215">
      <c r="B99" s="101" t="n">
        <v>88</v>
      </c>
      <c r="C99" s="232" t="inlineStr">
        <is>
          <t>BE-035U – POST /data-owner/facturas/{id_encab_fact}/enviar</t>
        </is>
      </c>
      <c r="D99" s="233" t="n"/>
      <c r="E99" s="12" t="inlineStr">
        <is>
          <t>x</t>
        </is>
      </c>
      <c r="F99" s="12" t="n"/>
      <c r="G99" s="104" t="n"/>
      <c r="H99" s="104" t="n"/>
      <c r="J99" s="57" t="n"/>
      <c r="K99" s="58" t="n"/>
    </row>
    <row r="100" ht="15.75" customHeight="1" s="215">
      <c r="B100" s="101" t="n">
        <v>89</v>
      </c>
      <c r="C100" s="232" t="inlineStr">
        <is>
          <t>BE-035V – GET /data-owner/config/smtp</t>
        </is>
      </c>
      <c r="D100" s="233" t="n"/>
      <c r="E100" s="12" t="inlineStr">
        <is>
          <t>x</t>
        </is>
      </c>
      <c r="F100" s="12" t="n"/>
      <c r="G100" s="104" t="n"/>
      <c r="H100" s="104" t="n"/>
      <c r="J100" s="57" t="n"/>
      <c r="K100" s="58" t="n"/>
    </row>
    <row r="101" ht="15.75" customHeight="1" s="215">
      <c r="B101" s="101" t="n">
        <v>90</v>
      </c>
      <c r="C101" s="232" t="inlineStr">
        <is>
          <t>BE-035W – GET /data-owner/config/imap</t>
        </is>
      </c>
      <c r="D101" s="233" t="n"/>
      <c r="E101" s="12" t="inlineStr">
        <is>
          <t>x</t>
        </is>
      </c>
      <c r="F101" s="12" t="n"/>
      <c r="G101" s="104" t="n"/>
      <c r="H101" s="104" t="n"/>
      <c r="J101" s="57" t="n"/>
      <c r="K101" s="58" t="n"/>
    </row>
    <row r="102" ht="15.75" customHeight="1" s="215">
      <c r="B102" s="101" t="n">
        <v>91</v>
      </c>
      <c r="C102" s="232" t="inlineStr">
        <is>
          <t>BE-035X – GET /data-owner/correos</t>
        </is>
      </c>
      <c r="D102" s="233" t="n"/>
      <c r="E102" s="12" t="inlineStr">
        <is>
          <t>x</t>
        </is>
      </c>
      <c r="F102" s="12" t="n"/>
      <c r="G102" s="104" t="n"/>
      <c r="H102" s="104" t="n"/>
      <c r="J102" s="57" t="n"/>
      <c r="K102" s="58" t="n"/>
    </row>
    <row r="103" ht="15.75" customHeight="1" s="215">
      <c r="B103" s="101" t="n">
        <v>92</v>
      </c>
      <c r="C103" s="232" t="inlineStr">
        <is>
          <t>BE-035Y – GET /data-owner/correos/{uid}</t>
        </is>
      </c>
      <c r="D103" s="233" t="n"/>
      <c r="E103" s="12" t="inlineStr">
        <is>
          <t>x</t>
        </is>
      </c>
      <c r="F103" s="12" t="n"/>
      <c r="G103" s="104" t="n"/>
      <c r="H103" s="104" t="n"/>
      <c r="J103" s="57" t="n"/>
      <c r="K103" s="58" t="n"/>
    </row>
    <row r="104" ht="15.75" customHeight="1" s="215">
      <c r="B104" s="101" t="n">
        <v>93</v>
      </c>
      <c r="C104" s="232" t="inlineStr">
        <is>
          <t>BE-036A – GET /wompi/public-key</t>
        </is>
      </c>
      <c r="D104" s="233" t="n"/>
      <c r="E104" s="12" t="inlineStr">
        <is>
          <t>x</t>
        </is>
      </c>
      <c r="F104" s="12" t="n"/>
      <c r="G104" s="104" t="n"/>
      <c r="H104" s="104" t="n"/>
      <c r="J104" s="57" t="n"/>
      <c r="K104" s="58" t="n"/>
    </row>
    <row r="105" ht="15.75" customHeight="1" s="215">
      <c r="B105" s="101" t="n">
        <v>94</v>
      </c>
      <c r="C105" s="232" t="inlineStr">
        <is>
          <t>BE-036B – POST /wompi/crear_pago</t>
        </is>
      </c>
      <c r="D105" s="233" t="n"/>
      <c r="E105" s="12" t="inlineStr">
        <is>
          <t>x</t>
        </is>
      </c>
      <c r="F105" s="12" t="n"/>
      <c r="G105" s="104" t="n"/>
      <c r="H105" s="104" t="n"/>
      <c r="J105" s="57" t="n"/>
      <c r="K105" s="58" t="n"/>
    </row>
    <row r="106" ht="15.75" customHeight="1" s="215">
      <c r="B106" s="101" t="n">
        <v>95</v>
      </c>
      <c r="C106" s="232" t="inlineStr">
        <is>
          <t>BE-036C – POST /wompi/webhook</t>
        </is>
      </c>
      <c r="D106" s="233" t="n"/>
      <c r="E106" s="12" t="inlineStr">
        <is>
          <t>x</t>
        </is>
      </c>
      <c r="F106" s="12" t="n"/>
      <c r="G106" s="104" t="n"/>
      <c r="H106" s="104" t="n"/>
      <c r="J106" s="57" t="n"/>
      <c r="K106" s="58" t="n"/>
    </row>
    <row r="107" ht="15.75" customHeight="1" s="215">
      <c r="B107" s="101" t="n">
        <v>96</v>
      </c>
      <c r="C107" s="232" t="inlineStr">
        <is>
          <t>BE-037 – POST /contactanos</t>
        </is>
      </c>
      <c r="D107" s="233" t="n"/>
      <c r="E107" s="12" t="inlineStr">
        <is>
          <t>x</t>
        </is>
      </c>
      <c r="F107" s="12" t="n"/>
      <c r="G107" s="104" t="n"/>
      <c r="H107" s="104" t="n"/>
      <c r="J107" s="57" t="n"/>
      <c r="K107" s="58" t="n"/>
    </row>
    <row r="108" ht="15.75" customHeight="1" s="215">
      <c r="B108" s="101" t="n">
        <v>97</v>
      </c>
      <c r="C108" s="232" t="inlineStr">
        <is>
          <t>BE-038 – GET /top</t>
        </is>
      </c>
      <c r="D108" s="233" t="n"/>
      <c r="E108" s="12" t="inlineStr">
        <is>
          <t>x</t>
        </is>
      </c>
      <c r="F108" s="12" t="n"/>
      <c r="G108" s="104" t="n"/>
      <c r="H108" s="104" t="n"/>
      <c r="J108" s="57" t="n"/>
      <c r="K108" s="58" t="n"/>
    </row>
    <row r="109" ht="15.75" customHeight="1" s="215">
      <c r="B109" s="101" t="n">
        <v>98</v>
      </c>
      <c r="C109" s="232" t="inlineStr">
        <is>
          <t>BE-039 – POST /buscar_restaurante</t>
        </is>
      </c>
      <c r="D109" s="233" t="n"/>
      <c r="E109" s="12" t="inlineStr">
        <is>
          <t>x</t>
        </is>
      </c>
      <c r="F109" s="12" t="n"/>
      <c r="G109" s="104" t="n"/>
      <c r="H109" s="104" t="n"/>
      <c r="J109" s="57" t="n"/>
      <c r="K109" s="58" t="n"/>
    </row>
    <row r="110" ht="15.75" customHeight="1" s="215">
      <c r="B110" s="101" t="n">
        <v>99</v>
      </c>
      <c r="C110" s="232" t="inlineStr">
        <is>
          <t>BE-040 – GET /restaurantes</t>
        </is>
      </c>
      <c r="D110" s="233" t="n"/>
      <c r="E110" s="12" t="inlineStr">
        <is>
          <t>x</t>
        </is>
      </c>
      <c r="F110" s="12" t="n"/>
      <c r="G110" s="104" t="n"/>
      <c r="H110" s="104" t="n"/>
      <c r="J110" s="57" t="n"/>
      <c r="K110" s="58" t="n"/>
    </row>
    <row r="111" ht="15.75" customHeight="1" s="215">
      <c r="B111" s="101" t="n">
        <v>100</v>
      </c>
      <c r="C111" s="232" t="inlineStr">
        <is>
          <t>BE-041 – PUT /mapa</t>
        </is>
      </c>
      <c r="D111" s="233" t="n"/>
      <c r="E111" s="12" t="inlineStr">
        <is>
          <t>x</t>
        </is>
      </c>
      <c r="F111" s="12" t="n"/>
      <c r="G111" s="104" t="n"/>
      <c r="H111" s="104" t="n"/>
      <c r="J111" s="57" t="n"/>
      <c r="K111" s="58" t="n"/>
    </row>
    <row r="112" ht="15.75" customHeight="1" s="215">
      <c r="B112" s="101" t="n">
        <v>101</v>
      </c>
      <c r="C112" s="232" t="inlineStr">
        <is>
          <t>BE-042 – Función verificar_token</t>
        </is>
      </c>
      <c r="D112" s="233" t="n"/>
      <c r="E112" s="12" t="inlineStr">
        <is>
          <t>x</t>
        </is>
      </c>
      <c r="F112" s="12" t="n"/>
      <c r="G112" s="104" t="n"/>
      <c r="H112" s="104" t="n"/>
      <c r="J112" s="57" t="n"/>
      <c r="K112" s="58" t="n"/>
    </row>
    <row r="113" ht="15.75" customHeight="1" s="215">
      <c r="B113" s="101" t="n">
        <v>102</v>
      </c>
      <c r="C113" s="232" t="inlineStr">
        <is>
          <t>BE-043 – Función registrar_factura_y_reserva (Python)</t>
        </is>
      </c>
      <c r="D113" s="233" t="n"/>
      <c r="E113" s="12" t="inlineStr">
        <is>
          <t>x</t>
        </is>
      </c>
      <c r="F113" s="12" t="n"/>
      <c r="G113" s="104" t="n"/>
      <c r="H113" s="104" t="n"/>
      <c r="J113" s="57" t="n"/>
      <c r="K113" s="58" t="n"/>
    </row>
    <row r="114" ht="15.75" customHeight="1" s="215">
      <c r="B114" s="101" t="n">
        <v>103</v>
      </c>
      <c r="C114" s="232" t="inlineStr">
        <is>
          <t>BE-044 – Función obtener_documento_por_email / get_documento_by_email</t>
        </is>
      </c>
      <c r="D114" s="233" t="n"/>
      <c r="E114" s="12" t="inlineStr">
        <is>
          <t>x</t>
        </is>
      </c>
      <c r="F114" s="12" t="n"/>
      <c r="G114" s="104" t="n"/>
      <c r="H114" s="104" t="n"/>
      <c r="J114" s="57" t="n"/>
      <c r="K114" s="58" t="n"/>
    </row>
    <row r="115" ht="15.75" customHeight="1" s="215">
      <c r="B115" s="101" t="n">
        <v>104</v>
      </c>
      <c r="C115" s="232" t="inlineStr">
        <is>
          <t>BE-045 – Función send_email</t>
        </is>
      </c>
      <c r="D115" s="233" t="n"/>
      <c r="E115" s="12" t="inlineStr">
        <is>
          <t>x</t>
        </is>
      </c>
      <c r="F115" s="12" t="n"/>
      <c r="G115" s="104" t="n"/>
      <c r="H115" s="104" t="n"/>
      <c r="J115" s="57" t="n"/>
      <c r="K115" s="58" t="n"/>
    </row>
    <row r="116" ht="15.75" customHeight="1" s="215">
      <c r="B116" s="101" t="n">
        <v>105</v>
      </c>
      <c r="C116" s="232" t="inlineStr">
        <is>
          <t>BE-046 – Función tarea_programada (recordatorios)</t>
        </is>
      </c>
      <c r="D116" s="233" t="n"/>
      <c r="E116" s="12" t="inlineStr">
        <is>
          <t>x</t>
        </is>
      </c>
      <c r="F116" s="12" t="n"/>
      <c r="G116" s="104" t="n"/>
      <c r="H116" s="104" t="n"/>
      <c r="J116" s="57" t="n"/>
      <c r="K116" s="58" t="n"/>
    </row>
    <row r="117" ht="15.75" customHeight="1" s="215">
      <c r="B117" s="101" t="n">
        <v>106</v>
      </c>
      <c r="C117" s="232" t="inlineStr">
        <is>
          <t>BE-047 – Función busqueda_restaurante</t>
        </is>
      </c>
      <c r="D117" s="233" t="n"/>
      <c r="E117" s="12" t="inlineStr">
        <is>
          <t>x</t>
        </is>
      </c>
      <c r="F117" s="12" t="n"/>
      <c r="G117" s="104" t="n"/>
      <c r="H117" s="104" t="n"/>
      <c r="J117" s="57" t="n"/>
      <c r="K117" s="58" t="n"/>
    </row>
    <row r="118" ht="15.75" customHeight="1" s="215">
      <c r="B118" s="101" t="n">
        <v>107</v>
      </c>
      <c r="C118" s="232" t="inlineStr">
        <is>
          <t>BE-048 – Función obtener_top_restaurantes</t>
        </is>
      </c>
      <c r="D118" s="233" t="n"/>
      <c r="E118" s="12" t="inlineStr">
        <is>
          <t>x</t>
        </is>
      </c>
      <c r="F118" s="12" t="n"/>
      <c r="G118" s="104" t="n"/>
      <c r="H118" s="104" t="n"/>
      <c r="J118" s="57" t="n"/>
      <c r="K118" s="58" t="n"/>
    </row>
    <row r="119" ht="15.75" customHeight="1" s="215">
      <c r="B119" s="101" t="n">
        <v>108</v>
      </c>
      <c r="C119" s="232" t="inlineStr">
        <is>
          <t>BE-049 – Función puede_acceder_restaurante</t>
        </is>
      </c>
      <c r="D119" s="233" t="n"/>
      <c r="E119" s="12" t="inlineStr">
        <is>
          <t>x</t>
        </is>
      </c>
      <c r="F119" s="12" t="n"/>
      <c r="G119" s="104" t="n"/>
      <c r="H119" s="104" t="n"/>
      <c r="J119" s="57" t="n"/>
      <c r="K119" s="58" t="n"/>
    </row>
    <row r="120" ht="15.75" customHeight="1" s="215">
      <c r="B120" s="101" t="n">
        <v>109</v>
      </c>
      <c r="C120" s="232" t="inlineStr">
        <is>
          <t>BE-050 – Servicio Wompi (tokenización, crear transacción, confirmar)</t>
        </is>
      </c>
      <c r="D120" s="233" t="n"/>
      <c r="E120" s="12" t="inlineStr">
        <is>
          <t>x</t>
        </is>
      </c>
      <c r="F120" s="12" t="n"/>
      <c r="G120" s="104" t="n"/>
      <c r="H120" s="104" t="n"/>
      <c r="J120" s="57" t="n"/>
      <c r="K120" s="58" t="n"/>
    </row>
    <row r="121" ht="15.75" customHeight="1" s="215">
      <c r="A121" s="100" t="n"/>
      <c r="B121" s="101" t="n">
        <v>110</v>
      </c>
      <c r="C121" s="232" t="inlineStr">
        <is>
          <t>BE-051 – Validación de webhook Wompi</t>
        </is>
      </c>
      <c r="D121" s="233" t="n"/>
      <c r="E121" s="12" t="inlineStr">
        <is>
          <t>x</t>
        </is>
      </c>
      <c r="F121" s="12" t="n"/>
      <c r="G121" s="104" t="n"/>
      <c r="H121" s="104" t="n"/>
      <c r="I121" s="100" t="n"/>
      <c r="J121" s="57" t="n"/>
      <c r="K121" s="58" t="n"/>
      <c r="L121" s="100" t="n"/>
      <c r="M121" s="100" t="n"/>
      <c r="N121" s="100" t="n"/>
      <c r="O121" s="100" t="n"/>
      <c r="P121" s="100" t="n"/>
      <c r="Q121" s="100" t="n"/>
      <c r="R121" s="100" t="n"/>
      <c r="S121" s="100" t="n"/>
      <c r="T121" s="100" t="n"/>
      <c r="U121" s="100" t="n"/>
      <c r="V121" s="100" t="n"/>
      <c r="W121" s="100" t="n"/>
      <c r="X121" s="100" t="n"/>
      <c r="Y121" s="100" t="n"/>
      <c r="Z121" s="100" t="n"/>
    </row>
    <row r="122" ht="15.75" customHeight="1" s="215">
      <c r="A122" s="100" t="n"/>
      <c r="B122" s="101" t="n">
        <v>111</v>
      </c>
      <c r="C122" s="232" t="inlineStr">
        <is>
          <t>BE-052 – Cifrado de contraseñas de correo</t>
        </is>
      </c>
      <c r="D122" s="233" t="n"/>
      <c r="E122" s="12" t="inlineStr">
        <is>
          <t>x</t>
        </is>
      </c>
      <c r="F122" s="12" t="n"/>
      <c r="G122" s="104" t="n"/>
      <c r="H122" s="104" t="n"/>
      <c r="I122" s="100" t="n"/>
      <c r="J122" s="57" t="n"/>
      <c r="K122" s="58" t="n"/>
      <c r="L122" s="100" t="n"/>
      <c r="M122" s="100" t="n"/>
      <c r="N122" s="100" t="n"/>
      <c r="O122" s="100" t="n"/>
      <c r="P122" s="100" t="n"/>
      <c r="Q122" s="100" t="n"/>
      <c r="R122" s="100" t="n"/>
      <c r="S122" s="100" t="n"/>
      <c r="T122" s="100" t="n"/>
      <c r="U122" s="100" t="n"/>
      <c r="V122" s="100" t="n"/>
      <c r="W122" s="100" t="n"/>
      <c r="X122" s="100" t="n"/>
      <c r="Y122" s="100" t="n"/>
      <c r="Z122" s="100" t="n"/>
    </row>
    <row r="123" ht="15.75" customHeight="1" s="215">
      <c r="A123" s="100" t="n"/>
      <c r="B123" s="101" t="n">
        <v>112</v>
      </c>
      <c r="C123" s="232" t="inlineStr">
        <is>
          <t>BE-053 – Lectura y archivado de correos IMAP</t>
        </is>
      </c>
      <c r="D123" s="233" t="n"/>
      <c r="E123" s="12" t="inlineStr">
        <is>
          <t>x</t>
        </is>
      </c>
      <c r="F123" s="12" t="n"/>
      <c r="G123" s="104" t="n"/>
      <c r="H123" s="104" t="n"/>
      <c r="I123" s="100" t="n"/>
      <c r="J123" s="57" t="n"/>
      <c r="K123" s="58" t="n"/>
      <c r="L123" s="100" t="n"/>
      <c r="M123" s="100" t="n"/>
      <c r="N123" s="100" t="n"/>
      <c r="O123" s="100" t="n"/>
      <c r="P123" s="100" t="n"/>
      <c r="Q123" s="100" t="n"/>
      <c r="R123" s="100" t="n"/>
      <c r="S123" s="100" t="n"/>
      <c r="T123" s="100" t="n"/>
      <c r="U123" s="100" t="n"/>
      <c r="V123" s="100" t="n"/>
      <c r="W123" s="100" t="n"/>
      <c r="X123" s="100" t="n"/>
      <c r="Y123" s="100" t="n"/>
      <c r="Z123" s="100" t="n"/>
    </row>
    <row r="124" ht="15.75" customHeight="1" s="215">
      <c r="A124" s="100" t="n"/>
      <c r="B124" s="101" t="n">
        <v>113</v>
      </c>
      <c r="C124" s="232" t="inlineStr">
        <is>
          <t>BE-054 – Obtención de rol de usuario (get_user_role)</t>
        </is>
      </c>
      <c r="D124" s="233" t="n"/>
      <c r="E124" s="12" t="inlineStr">
        <is>
          <t>x</t>
        </is>
      </c>
      <c r="F124" s="12" t="n"/>
      <c r="G124" s="104" t="n"/>
      <c r="H124" s="104" t="n"/>
      <c r="I124" s="100" t="n"/>
      <c r="J124" s="57" t="n"/>
      <c r="K124" s="58" t="n"/>
      <c r="L124" s="100" t="n"/>
      <c r="M124" s="100" t="n"/>
      <c r="N124" s="100" t="n"/>
      <c r="O124" s="100" t="n"/>
      <c r="P124" s="100" t="n"/>
      <c r="Q124" s="100" t="n"/>
      <c r="R124" s="100" t="n"/>
      <c r="S124" s="100" t="n"/>
      <c r="T124" s="100" t="n"/>
      <c r="U124" s="100" t="n"/>
      <c r="V124" s="100" t="n"/>
      <c r="W124" s="100" t="n"/>
      <c r="X124" s="100" t="n"/>
      <c r="Y124" s="100" t="n"/>
      <c r="Z124" s="100" t="n"/>
    </row>
    <row r="125" ht="15.75" customHeight="1" s="215">
      <c r="A125" s="100" t="n"/>
      <c r="B125" s="101" t="n">
        <v>114</v>
      </c>
      <c r="C125" s="232" t="inlineStr">
        <is>
          <t>BE-055 – DELETE /encabezado_factura/borrarencabezadofactura</t>
        </is>
      </c>
      <c r="D125" s="233" t="n"/>
      <c r="E125" s="12" t="inlineStr">
        <is>
          <t>x</t>
        </is>
      </c>
      <c r="F125" s="12" t="n"/>
      <c r="G125" s="104" t="n"/>
      <c r="H125" s="104" t="n"/>
      <c r="I125" s="100" t="n"/>
      <c r="J125" s="57" t="n"/>
      <c r="K125" s="58" t="n"/>
      <c r="L125" s="100" t="n"/>
      <c r="M125" s="100" t="n"/>
      <c r="N125" s="100" t="n"/>
      <c r="O125" s="100" t="n"/>
      <c r="P125" s="100" t="n"/>
      <c r="Q125" s="100" t="n"/>
      <c r="R125" s="100" t="n"/>
      <c r="S125" s="100" t="n"/>
      <c r="T125" s="100" t="n"/>
      <c r="U125" s="100" t="n"/>
      <c r="V125" s="100" t="n"/>
      <c r="W125" s="100" t="n"/>
      <c r="X125" s="100" t="n"/>
      <c r="Y125" s="100" t="n"/>
      <c r="Z125" s="100" t="n"/>
    </row>
    <row r="126" ht="15.75" customHeight="1" s="215">
      <c r="A126" s="100" t="n"/>
      <c r="B126" s="101" t="n">
        <v>115</v>
      </c>
      <c r="C126" s="232" t="inlineStr">
        <is>
          <t>BE-056 – PUT /detalle_factura/editardetallefactura</t>
        </is>
      </c>
      <c r="D126" s="233" t="n"/>
      <c r="E126" s="12" t="inlineStr">
        <is>
          <t>x</t>
        </is>
      </c>
      <c r="F126" s="12" t="n"/>
      <c r="G126" s="104" t="n"/>
      <c r="H126" s="104" t="n"/>
      <c r="I126" s="100" t="n"/>
      <c r="J126" s="57" t="n"/>
      <c r="K126" s="58" t="n"/>
      <c r="L126" s="100" t="n"/>
      <c r="M126" s="100" t="n"/>
      <c r="N126" s="100" t="n"/>
      <c r="O126" s="100" t="n"/>
      <c r="P126" s="100" t="n"/>
      <c r="Q126" s="100" t="n"/>
      <c r="R126" s="100" t="n"/>
      <c r="S126" s="100" t="n"/>
      <c r="T126" s="100" t="n"/>
      <c r="U126" s="100" t="n"/>
      <c r="V126" s="100" t="n"/>
      <c r="W126" s="100" t="n"/>
      <c r="X126" s="100" t="n"/>
      <c r="Y126" s="100" t="n"/>
      <c r="Z126" s="100" t="n"/>
    </row>
    <row r="127" ht="15.75" customHeight="1" s="215">
      <c r="A127" s="100" t="n"/>
      <c r="B127" s="101" t="n">
        <v>116</v>
      </c>
      <c r="C127" s="232" t="inlineStr">
        <is>
          <t>BE-057 – GET /comentarios/listar_comentarios</t>
        </is>
      </c>
      <c r="D127" s="233" t="n"/>
      <c r="E127" s="12" t="inlineStr">
        <is>
          <t>x</t>
        </is>
      </c>
      <c r="F127" s="12" t="n"/>
      <c r="G127" s="104" t="n"/>
      <c r="H127" s="104" t="n"/>
      <c r="I127" s="100" t="n"/>
      <c r="J127" s="57" t="n"/>
      <c r="K127" s="58" t="n"/>
      <c r="L127" s="100" t="n"/>
      <c r="M127" s="100" t="n"/>
      <c r="N127" s="100" t="n"/>
      <c r="O127" s="100" t="n"/>
      <c r="P127" s="100" t="n"/>
      <c r="Q127" s="100" t="n"/>
      <c r="R127" s="100" t="n"/>
      <c r="S127" s="100" t="n"/>
      <c r="T127" s="100" t="n"/>
      <c r="U127" s="100" t="n"/>
      <c r="V127" s="100" t="n"/>
      <c r="W127" s="100" t="n"/>
      <c r="X127" s="100" t="n"/>
      <c r="Y127" s="100" t="n"/>
      <c r="Z127" s="100" t="n"/>
    </row>
    <row r="128" ht="15.75" customHeight="1" s="215">
      <c r="A128" s="100" t="n"/>
      <c r="B128" s="101" t="n">
        <v>117</v>
      </c>
      <c r="C128" s="232" t="inlineStr">
        <is>
          <t>BE-058 – PUT /comentarios/editarcomentario</t>
        </is>
      </c>
      <c r="D128" s="233" t="n"/>
      <c r="E128" s="12" t="inlineStr">
        <is>
          <t>x</t>
        </is>
      </c>
      <c r="F128" s="12" t="n"/>
      <c r="G128" s="104" t="n"/>
      <c r="H128" s="104" t="n"/>
      <c r="I128" s="100" t="n"/>
      <c r="J128" s="57" t="n"/>
      <c r="K128" s="58" t="n"/>
      <c r="L128" s="100" t="n"/>
      <c r="M128" s="100" t="n"/>
      <c r="N128" s="100" t="n"/>
      <c r="O128" s="100" t="n"/>
      <c r="P128" s="100" t="n"/>
      <c r="Q128" s="100" t="n"/>
      <c r="R128" s="100" t="n"/>
      <c r="S128" s="100" t="n"/>
      <c r="T128" s="100" t="n"/>
      <c r="U128" s="100" t="n"/>
      <c r="V128" s="100" t="n"/>
      <c r="W128" s="100" t="n"/>
      <c r="X128" s="100" t="n"/>
      <c r="Y128" s="100" t="n"/>
      <c r="Z128" s="100" t="n"/>
    </row>
    <row r="129" ht="15.75" customHeight="1" s="215">
      <c r="A129" s="100" t="n"/>
      <c r="B129" s="101" t="n">
        <v>118</v>
      </c>
      <c r="C129" s="232" t="inlineStr">
        <is>
          <t>BE-059 – GET /categorias/listar_categorias</t>
        </is>
      </c>
      <c r="D129" s="233" t="n"/>
      <c r="E129" s="12" t="inlineStr">
        <is>
          <t>x</t>
        </is>
      </c>
      <c r="F129" s="12" t="n"/>
      <c r="G129" s="104" t="n"/>
      <c r="H129" s="104" t="n"/>
      <c r="I129" s="100" t="n"/>
      <c r="J129" s="57" t="n"/>
      <c r="K129" s="58" t="n"/>
      <c r="L129" s="100" t="n"/>
      <c r="M129" s="100" t="n"/>
      <c r="N129" s="100" t="n"/>
      <c r="O129" s="100" t="n"/>
      <c r="P129" s="100" t="n"/>
      <c r="Q129" s="100" t="n"/>
      <c r="R129" s="100" t="n"/>
      <c r="S129" s="100" t="n"/>
      <c r="T129" s="100" t="n"/>
      <c r="U129" s="100" t="n"/>
      <c r="V129" s="100" t="n"/>
      <c r="W129" s="100" t="n"/>
      <c r="X129" s="100" t="n"/>
      <c r="Y129" s="100" t="n"/>
      <c r="Z129" s="100" t="n"/>
    </row>
    <row r="130" ht="15.75" customHeight="1" s="215">
      <c r="A130" s="100" t="n"/>
      <c r="B130" s="101" t="n">
        <v>119</v>
      </c>
      <c r="C130" s="232" t="inlineStr">
        <is>
          <t>BE-060 – POST /empleado/insertarempleado</t>
        </is>
      </c>
      <c r="D130" s="233" t="n"/>
      <c r="E130" s="12" t="inlineStr">
        <is>
          <t>x</t>
        </is>
      </c>
      <c r="F130" s="12" t="n"/>
      <c r="G130" s="104" t="n"/>
      <c r="H130" s="104" t="n"/>
      <c r="I130" s="100" t="n"/>
      <c r="J130" s="57" t="n"/>
      <c r="K130" s="58" t="n"/>
      <c r="L130" s="100" t="n"/>
      <c r="M130" s="100" t="n"/>
      <c r="N130" s="100" t="n"/>
      <c r="O130" s="100" t="n"/>
      <c r="P130" s="100" t="n"/>
      <c r="Q130" s="100" t="n"/>
      <c r="R130" s="100" t="n"/>
      <c r="S130" s="100" t="n"/>
      <c r="T130" s="100" t="n"/>
      <c r="U130" s="100" t="n"/>
      <c r="V130" s="100" t="n"/>
      <c r="W130" s="100" t="n"/>
      <c r="X130" s="100" t="n"/>
      <c r="Y130" s="100" t="n"/>
      <c r="Z130" s="100" t="n"/>
    </row>
    <row r="131" ht="15.75" customHeight="1" s="215">
      <c r="A131" s="100" t="n"/>
      <c r="B131" s="101" t="n">
        <v>120</v>
      </c>
      <c r="C131" s="232" t="inlineStr">
        <is>
          <t>BE-061 – POST /dueno/insertardueno</t>
        </is>
      </c>
      <c r="D131" s="233" t="n"/>
      <c r="E131" s="12" t="inlineStr">
        <is>
          <t>x</t>
        </is>
      </c>
      <c r="F131" s="12" t="n"/>
      <c r="G131" s="104" t="n"/>
      <c r="H131" s="104" t="n"/>
      <c r="I131" s="100" t="n"/>
      <c r="J131" s="57" t="n"/>
      <c r="K131" s="58" t="n"/>
      <c r="L131" s="100" t="n"/>
      <c r="M131" s="100" t="n"/>
      <c r="N131" s="100" t="n"/>
      <c r="O131" s="100" t="n"/>
      <c r="P131" s="100" t="n"/>
      <c r="Q131" s="100" t="n"/>
      <c r="R131" s="100" t="n"/>
      <c r="S131" s="100" t="n"/>
      <c r="T131" s="100" t="n"/>
      <c r="U131" s="100" t="n"/>
      <c r="V131" s="100" t="n"/>
      <c r="W131" s="100" t="n"/>
      <c r="X131" s="100" t="n"/>
      <c r="Y131" s="100" t="n"/>
      <c r="Z131" s="100" t="n"/>
    </row>
    <row r="132" ht="15.75" customHeight="1" s="215">
      <c r="A132" s="100" t="n"/>
      <c r="B132" s="101" t="n">
        <v>121</v>
      </c>
      <c r="C132" s="232" t="inlineStr">
        <is>
          <t>BE-062 – GET /cliente/listar_clientes</t>
        </is>
      </c>
      <c r="D132" s="233" t="n"/>
      <c r="E132" s="12" t="inlineStr">
        <is>
          <t>x</t>
        </is>
      </c>
      <c r="F132" s="12" t="n"/>
      <c r="G132" s="104" t="n"/>
      <c r="H132" s="104" t="n"/>
      <c r="I132" s="100" t="n"/>
      <c r="J132" s="57" t="n"/>
      <c r="K132" s="58" t="n"/>
      <c r="L132" s="100" t="n"/>
      <c r="M132" s="100" t="n"/>
      <c r="N132" s="100" t="n"/>
      <c r="O132" s="100" t="n"/>
      <c r="P132" s="100" t="n"/>
      <c r="Q132" s="100" t="n"/>
      <c r="R132" s="100" t="n"/>
      <c r="S132" s="100" t="n"/>
      <c r="T132" s="100" t="n"/>
      <c r="U132" s="100" t="n"/>
      <c r="V132" s="100" t="n"/>
      <c r="W132" s="100" t="n"/>
      <c r="X132" s="100" t="n"/>
      <c r="Y132" s="100" t="n"/>
      <c r="Z132" s="100" t="n"/>
    </row>
    <row r="133" ht="15.75" customHeight="1" s="215">
      <c r="A133" s="100" t="n"/>
      <c r="B133" s="101" t="n">
        <v>122</v>
      </c>
      <c r="C133" s="232" t="inlineStr">
        <is>
          <t>BE-063 – GET /data-owner/reservas</t>
        </is>
      </c>
      <c r="D133" s="233" t="n"/>
      <c r="E133" s="12" t="inlineStr">
        <is>
          <t>x</t>
        </is>
      </c>
      <c r="F133" s="12" t="n"/>
      <c r="G133" s="104" t="n"/>
      <c r="H133" s="104" t="n"/>
      <c r="I133" s="100" t="n"/>
      <c r="J133" s="57" t="n"/>
      <c r="K133" s="58" t="n"/>
      <c r="L133" s="100" t="n"/>
      <c r="M133" s="100" t="n"/>
      <c r="N133" s="100" t="n"/>
      <c r="O133" s="100" t="n"/>
      <c r="P133" s="100" t="n"/>
      <c r="Q133" s="100" t="n"/>
      <c r="R133" s="100" t="n"/>
      <c r="S133" s="100" t="n"/>
      <c r="T133" s="100" t="n"/>
      <c r="U133" s="100" t="n"/>
      <c r="V133" s="100" t="n"/>
      <c r="W133" s="100" t="n"/>
      <c r="X133" s="100" t="n"/>
      <c r="Y133" s="100" t="n"/>
      <c r="Z133" s="100" t="n"/>
    </row>
    <row r="134" ht="15.75" customHeight="1" s="215">
      <c r="A134" s="100" t="n"/>
      <c r="B134" s="101" t="n">
        <v>123</v>
      </c>
      <c r="C134" s="232" t="inlineStr">
        <is>
          <t>BE-064 – GET /data-owner/empleados</t>
        </is>
      </c>
      <c r="D134" s="233" t="n"/>
      <c r="E134" s="12" t="inlineStr">
        <is>
          <t>x</t>
        </is>
      </c>
      <c r="F134" s="12" t="n"/>
      <c r="G134" s="104" t="n"/>
      <c r="H134" s="104" t="n"/>
      <c r="I134" s="100" t="n"/>
      <c r="J134" s="57" t="n"/>
      <c r="K134" s="58" t="n"/>
      <c r="L134" s="100" t="n"/>
      <c r="M134" s="100" t="n"/>
      <c r="N134" s="100" t="n"/>
      <c r="O134" s="100" t="n"/>
      <c r="P134" s="100" t="n"/>
      <c r="Q134" s="100" t="n"/>
      <c r="R134" s="100" t="n"/>
      <c r="S134" s="100" t="n"/>
      <c r="T134" s="100" t="n"/>
      <c r="U134" s="100" t="n"/>
      <c r="V134" s="100" t="n"/>
      <c r="W134" s="100" t="n"/>
      <c r="X134" s="100" t="n"/>
      <c r="Y134" s="100" t="n"/>
      <c r="Z134" s="100" t="n"/>
    </row>
    <row r="135" ht="15.75" customHeight="1" s="215">
      <c r="A135" s="100" t="n"/>
      <c r="B135" s="101" t="n">
        <v>124</v>
      </c>
      <c r="C135" s="232" t="inlineStr">
        <is>
          <t>BE-065 – PUT /calculos_mensuales/editar_calculo_mensual</t>
        </is>
      </c>
      <c r="D135" s="233" t="n"/>
      <c r="E135" s="12" t="inlineStr">
        <is>
          <t>x</t>
        </is>
      </c>
      <c r="F135" s="12" t="n"/>
      <c r="G135" s="104" t="n"/>
      <c r="H135" s="104" t="n"/>
      <c r="I135" s="100" t="n"/>
      <c r="J135" s="57" t="n"/>
      <c r="K135" s="58" t="n"/>
      <c r="L135" s="100" t="n"/>
      <c r="M135" s="100" t="n"/>
      <c r="N135" s="100" t="n"/>
      <c r="O135" s="100" t="n"/>
      <c r="P135" s="100" t="n"/>
      <c r="Q135" s="100" t="n"/>
      <c r="R135" s="100" t="n"/>
      <c r="S135" s="100" t="n"/>
      <c r="T135" s="100" t="n"/>
      <c r="U135" s="100" t="n"/>
      <c r="V135" s="100" t="n"/>
      <c r="W135" s="100" t="n"/>
      <c r="X135" s="100" t="n"/>
      <c r="Y135" s="100" t="n"/>
      <c r="Z135" s="100" t="n"/>
    </row>
    <row r="136" ht="15.75" customHeight="1" s="215">
      <c r="A136" s="100" t="n"/>
      <c r="B136" s="101" t="n">
        <v>125</v>
      </c>
      <c r="C136" s="232" t="inlineStr">
        <is>
          <t>BE-066 – GET /wompi/transaccion/{transaction_id}</t>
        </is>
      </c>
      <c r="D136" s="233" t="n"/>
      <c r="E136" s="12" t="inlineStr">
        <is>
          <t>x</t>
        </is>
      </c>
      <c r="F136" s="12" t="n"/>
      <c r="G136" s="104" t="n"/>
      <c r="H136" s="104" t="n"/>
      <c r="I136" s="100" t="n"/>
      <c r="J136" s="57" t="n"/>
      <c r="K136" s="58" t="n"/>
      <c r="L136" s="100" t="n"/>
      <c r="M136" s="100" t="n"/>
      <c r="N136" s="100" t="n"/>
      <c r="O136" s="100" t="n"/>
      <c r="P136" s="100" t="n"/>
      <c r="Q136" s="100" t="n"/>
      <c r="R136" s="100" t="n"/>
      <c r="S136" s="100" t="n"/>
      <c r="T136" s="100" t="n"/>
      <c r="U136" s="100" t="n"/>
      <c r="V136" s="100" t="n"/>
      <c r="W136" s="100" t="n"/>
      <c r="X136" s="100" t="n"/>
      <c r="Y136" s="100" t="n"/>
      <c r="Z136" s="100" t="n"/>
    </row>
    <row r="137" ht="15.75" customHeight="1" s="215">
      <c r="B137" s="101" t="n">
        <v>126</v>
      </c>
      <c r="C137" s="232" t="inlineStr">
        <is>
          <t>BE-067 – POST /data-owner/correos/responder</t>
        </is>
      </c>
      <c r="D137" s="233" t="n"/>
      <c r="E137" s="12" t="inlineStr">
        <is>
          <t>x</t>
        </is>
      </c>
      <c r="F137" s="12" t="n"/>
      <c r="G137" s="104" t="n"/>
      <c r="H137" s="104" t="n"/>
      <c r="J137" s="57" t="n"/>
      <c r="K137" s="58" t="n"/>
    </row>
    <row r="138" ht="15.75" customHeight="1" s="215">
      <c r="B138" s="101" t="n">
        <v>127</v>
      </c>
      <c r="C138" s="232" t="inlineStr">
        <is>
          <t>BE-068 – Función insertar_roles (CRUD)</t>
        </is>
      </c>
      <c r="D138" s="233" t="n"/>
      <c r="E138" s="12" t="inlineStr">
        <is>
          <t>x</t>
        </is>
      </c>
      <c r="F138" s="12" t="n"/>
      <c r="G138" s="104" t="n"/>
      <c r="H138" s="104" t="n"/>
      <c r="J138" s="57" t="n"/>
      <c r="K138" s="58" t="n"/>
    </row>
    <row r="139" ht="15.75" customHeight="1" s="215">
      <c r="B139" s="101" t="n">
        <v>128</v>
      </c>
      <c r="C139" s="232" t="inlineStr">
        <is>
          <t>BE-069 – Función obtener_restaurantes_para_mapa</t>
        </is>
      </c>
      <c r="D139" s="233" t="n"/>
      <c r="E139" s="12" t="inlineStr">
        <is>
          <t>x</t>
        </is>
      </c>
      <c r="F139" s="12" t="n"/>
      <c r="G139" s="104" t="n"/>
      <c r="H139" s="104" t="n"/>
      <c r="J139" s="57" t="n"/>
      <c r="K139" s="58" t="n"/>
    </row>
    <row r="140" ht="15.75" customHeight="1" s="215">
      <c r="B140" s="101" t="n">
        <v>129</v>
      </c>
      <c r="C140" s="232" t="inlineStr">
        <is>
          <t>BE-070 – Función update_reservation_status (Python)</t>
        </is>
      </c>
      <c r="D140" s="233" t="n"/>
      <c r="E140" s="12" t="inlineStr">
        <is>
          <t>x</t>
        </is>
      </c>
      <c r="F140" s="12" t="n"/>
      <c r="G140" s="104" t="n"/>
      <c r="H140" s="104" t="n"/>
      <c r="J140" s="57" t="n"/>
      <c r="K140" s="58" t="n"/>
    </row>
    <row r="141" ht="15.75" customHeight="1" s="215">
      <c r="B141" s="101" t="n">
        <v>130</v>
      </c>
      <c r="C141" s="232" t="inlineStr">
        <is>
          <t>BE-071 – Función send2hbf (recordatorio 2h antes)</t>
        </is>
      </c>
      <c r="D141" s="233" t="n"/>
      <c r="E141" s="12" t="inlineStr">
        <is>
          <t>x</t>
        </is>
      </c>
      <c r="F141" s="12" t="n"/>
      <c r="G141" s="104" t="n"/>
      <c r="H141" s="104" t="n"/>
      <c r="J141" s="57" t="n"/>
      <c r="K141" s="58" t="n"/>
    </row>
    <row r="142" ht="15.75" customHeight="1" s="215">
      <c r="B142" s="101" t="n">
        <v>131</v>
      </c>
      <c r="C142" s="232" t="inlineStr">
        <is>
          <t>BE-072 – Función smtp_config_db (lectura/escritura SMTP_config)</t>
        </is>
      </c>
      <c r="D142" s="233" t="n"/>
      <c r="E142" s="12" t="inlineStr">
        <is>
          <t>x</t>
        </is>
      </c>
      <c r="F142" s="12" t="n"/>
      <c r="G142" s="104" t="n"/>
      <c r="H142" s="104" t="n"/>
      <c r="J142" s="57" t="n"/>
      <c r="K142" s="58" t="n"/>
    </row>
    <row r="143" ht="15.75" customHeight="1" s="215">
      <c r="B143" s="101" t="n">
        <v>132</v>
      </c>
      <c r="C143" s="232" t="inlineStr">
        <is>
          <t>BE-073 – GET /encabezado_factura/listar_encabezado_factura</t>
        </is>
      </c>
      <c r="D143" s="233" t="n"/>
      <c r="E143" s="12" t="inlineStr">
        <is>
          <t>x</t>
        </is>
      </c>
      <c r="F143" s="12" t="n"/>
      <c r="G143" s="104" t="n"/>
      <c r="H143" s="104" t="n"/>
      <c r="J143" s="57" t="n"/>
      <c r="K143" s="58" t="n"/>
    </row>
    <row r="144" ht="15.75" customHeight="1" s="215">
      <c r="B144" s="101" t="n">
        <v>133</v>
      </c>
      <c r="C144" s="232" t="inlineStr">
        <is>
          <t>BE-074 – GET /mesas/listar_mesas</t>
        </is>
      </c>
      <c r="D144" s="233" t="n"/>
      <c r="E144" s="12" t="inlineStr">
        <is>
          <t>x</t>
        </is>
      </c>
      <c r="F144" s="12" t="n"/>
      <c r="G144" s="104" t="n"/>
      <c r="H144" s="104" t="n"/>
      <c r="J144" s="57" t="n"/>
      <c r="K144" s="58" t="n"/>
    </row>
    <row r="145" ht="15.75" customHeight="1" s="215">
      <c r="B145" s="101" t="n">
        <v>134</v>
      </c>
      <c r="C145" s="232" t="inlineStr">
        <is>
          <t>BE-075 – GET /data-owner/mi-balance</t>
        </is>
      </c>
      <c r="D145" s="233" t="n"/>
      <c r="E145" s="12" t="inlineStr">
        <is>
          <t>x</t>
        </is>
      </c>
      <c r="F145" s="12" t="n"/>
      <c r="G145" s="104" t="n"/>
      <c r="H145" s="104" t="n"/>
      <c r="J145" s="57" t="n"/>
      <c r="K145" s="58" t="n"/>
    </row>
    <row r="146" ht="15.75" customHeight="1" s="215">
      <c r="B146" s="101" t="n">
        <v>135</v>
      </c>
      <c r="C146" s="232" t="inlineStr">
        <is>
          <t>BE-076 – GET /data-owner/empleados-con-reservas</t>
        </is>
      </c>
      <c r="D146" s="233" t="n"/>
      <c r="E146" s="12" t="inlineStr">
        <is>
          <t>x</t>
        </is>
      </c>
      <c r="F146" s="12" t="n"/>
      <c r="G146" s="104" t="n"/>
      <c r="H146" s="104" t="n"/>
      <c r="J146" s="57" t="n"/>
      <c r="K146" s="58" t="n"/>
    </row>
    <row r="147" ht="15.75" customHeight="1" s="215">
      <c r="B147" s="101" t="n">
        <v>136</v>
      </c>
      <c r="C147" s="232" t="inlineStr">
        <is>
          <t>BE-077 – Refresh token enviado solo en cookie HttpOnly</t>
        </is>
      </c>
      <c r="D147" s="233" t="n"/>
      <c r="E147" s="12" t="inlineStr">
        <is>
          <t>x</t>
        </is>
      </c>
      <c r="F147" s="12" t="n"/>
      <c r="G147" s="104" t="n"/>
      <c r="H147" s="104" t="n"/>
      <c r="J147" s="57" t="n"/>
      <c r="K147" s="58" t="n"/>
    </row>
    <row r="148" ht="15.75" customHeight="1" s="215">
      <c r="B148" s="101" t="n">
        <v>137</v>
      </c>
      <c r="C148" s="232" t="inlineStr">
        <is>
          <t>BE-078 – Cookie refresh_token con flag secure</t>
        </is>
      </c>
      <c r="D148" s="233" t="n"/>
      <c r="E148" s="12" t="inlineStr">
        <is>
          <t>x</t>
        </is>
      </c>
      <c r="F148" s="12" t="n"/>
      <c r="G148" s="104" t="n"/>
      <c r="H148" s="104" t="n"/>
      <c r="J148" s="57" t="n"/>
      <c r="K148" s="58" t="n"/>
    </row>
    <row r="149" ht="15.75" customHeight="1" s="215">
      <c r="B149" s="101" t="n">
        <v>138</v>
      </c>
      <c r="C149" s="232" t="inlineStr">
        <is>
          <t>BE-079 – Cookie refresh_token con samesite=strict</t>
        </is>
      </c>
      <c r="D149" s="233" t="n"/>
      <c r="E149" s="12" t="inlineStr">
        <is>
          <t>x</t>
        </is>
      </c>
      <c r="F149" s="12" t="n"/>
      <c r="G149" s="104" t="n"/>
      <c r="H149" s="104" t="n"/>
      <c r="J149" s="57" t="n"/>
      <c r="K149" s="58" t="n"/>
    </row>
    <row r="150" ht="15.75" customHeight="1" s="215">
      <c r="B150" s="101" t="n">
        <v>139</v>
      </c>
      <c r="C150" s="232" t="inlineStr">
        <is>
          <t>BE-080 – Cookie refresh_token con max_age de 7 días</t>
        </is>
      </c>
      <c r="D150" s="233" t="n"/>
      <c r="E150" s="12" t="inlineStr">
        <is>
          <t>x</t>
        </is>
      </c>
      <c r="F150" s="12" t="n"/>
      <c r="G150" s="104" t="n"/>
      <c r="H150" s="104" t="n"/>
      <c r="J150" s="57" t="n"/>
      <c r="K150" s="58" t="n"/>
    </row>
    <row r="151" ht="15.75" customHeight="1" s="215">
      <c r="B151" s="101" t="n">
        <v>140</v>
      </c>
      <c r="C151" s="232" t="inlineStr">
        <is>
          <t>BE-081 – Verificación de token revocado en cada petición protegida</t>
        </is>
      </c>
      <c r="D151" s="233" t="n"/>
      <c r="E151" s="12" t="inlineStr">
        <is>
          <t>x</t>
        </is>
      </c>
      <c r="F151" s="12" t="n"/>
      <c r="G151" s="104" t="n"/>
      <c r="H151" s="104" t="n"/>
      <c r="J151" s="57" t="n"/>
      <c r="K151" s="58" t="n"/>
    </row>
    <row r="152" ht="15.75" customHeight="1" s="215">
      <c r="B152" s="101" t="n">
        <v>141</v>
      </c>
      <c r="C152" s="232" t="inlineStr">
        <is>
          <t>BE-082 – Edición de credencial restringida al propio usuario</t>
        </is>
      </c>
      <c r="D152" s="233" t="n"/>
      <c r="E152" s="12" t="inlineStr">
        <is>
          <t>x</t>
        </is>
      </c>
      <c r="F152" s="12" t="n"/>
      <c r="G152" s="104" t="n"/>
      <c r="H152" s="104" t="n"/>
      <c r="J152" s="57" t="n"/>
      <c r="K152" s="58" t="n"/>
    </row>
    <row r="153" ht="15.75" customHeight="1" s="215">
      <c r="B153" s="101" t="n">
        <v>142</v>
      </c>
      <c r="C153" s="232" t="inlineStr">
        <is>
          <t>BE-083 – Mantener contraseña actual si no se envía nueva al editar credencial</t>
        </is>
      </c>
      <c r="D153" s="233" t="n"/>
      <c r="E153" s="12" t="inlineStr">
        <is>
          <t>x</t>
        </is>
      </c>
      <c r="F153" s="12" t="n"/>
      <c r="G153" s="104" t="n"/>
      <c r="H153" s="104" t="n"/>
      <c r="J153" s="57" t="n"/>
      <c r="K153" s="58" t="n"/>
    </row>
    <row r="154" ht="15.75" customHeight="1" s="215">
      <c r="B154" s="101" t="n">
        <v>143</v>
      </c>
      <c r="C154" s="232" t="inlineStr">
        <is>
          <t>BE-084 – Hash de contraseña con bcrypt al editar credencial</t>
        </is>
      </c>
      <c r="D154" s="233" t="n"/>
      <c r="E154" s="12" t="inlineStr">
        <is>
          <t>x</t>
        </is>
      </c>
      <c r="F154" s="12" t="n"/>
      <c r="G154" s="104" t="n"/>
      <c r="H154" s="104" t="n"/>
      <c r="J154" s="57" t="n"/>
      <c r="K154" s="58" t="n"/>
    </row>
    <row r="155" ht="15.75" customHeight="1" s="215">
      <c r="B155" s="101" t="n">
        <v>144</v>
      </c>
      <c r="C155" s="232" t="inlineStr">
        <is>
          <t>BE-085 – Renovar token solo si refresh_token no está revocado</t>
        </is>
      </c>
      <c r="D155" s="233" t="n"/>
      <c r="E155" s="12" t="inlineStr">
        <is>
          <t>x</t>
        </is>
      </c>
      <c r="F155" s="12" t="n"/>
      <c r="G155" s="104" t="n"/>
      <c r="H155" s="104" t="n"/>
      <c r="J155" s="57" t="n"/>
      <c r="K155" s="58" t="n"/>
    </row>
    <row r="156" ht="15.75" customHeight="1" s="215">
      <c r="B156" s="101" t="n">
        <v>145</v>
      </c>
      <c r="C156" s="232" t="inlineStr">
        <is>
          <t>BE-086 – Migración transparente de contraseña legacy a bcrypt en login</t>
        </is>
      </c>
      <c r="D156" s="233" t="n"/>
      <c r="E156" s="12" t="inlineStr">
        <is>
          <t>x</t>
        </is>
      </c>
      <c r="F156" s="12" t="n"/>
      <c r="G156" s="104" t="n"/>
      <c r="H156" s="104" t="n"/>
      <c r="J156" s="57" t="n"/>
      <c r="K156" s="58" t="n"/>
    </row>
    <row r="157" ht="15.75" customHeight="1" s="215">
      <c r="B157" s="101" t="n">
        <v>146</v>
      </c>
      <c r="C157" s="232" t="inlineStr">
        <is>
          <t>BE-087 – Esquema OAuth2PasswordBearer para extracción del token</t>
        </is>
      </c>
      <c r="D157" s="233" t="n"/>
      <c r="E157" s="12" t="inlineStr">
        <is>
          <t>x</t>
        </is>
      </c>
      <c r="F157" s="12" t="n"/>
      <c r="G157" s="104" t="n"/>
      <c r="H157" s="104" t="n"/>
      <c r="J157" s="57" t="n"/>
      <c r="K157" s="58" t="n"/>
    </row>
    <row r="158" ht="15.75" customHeight="1" s="215">
      <c r="B158" s="101" t="n">
        <v>147</v>
      </c>
      <c r="C158" s="232" t="inlineStr">
        <is>
          <t>BE-088 – CORS con allow_credentials True</t>
        </is>
      </c>
      <c r="D158" s="233" t="n"/>
      <c r="E158" s="12" t="inlineStr">
        <is>
          <t>x</t>
        </is>
      </c>
      <c r="F158" s="12" t="n"/>
      <c r="G158" s="104" t="n"/>
      <c r="H158" s="104" t="n"/>
      <c r="J158" s="57" t="n"/>
      <c r="K158" s="58" t="n"/>
    </row>
    <row r="159" ht="15.75" customHeight="1" s="215">
      <c r="B159" s="101" t="n">
        <v>148</v>
      </c>
      <c r="C159" s="232" t="inlineStr">
        <is>
          <t>BE-089 – Recuperación de contraseña (POST /password-reset/request, /verify, /reset)</t>
        </is>
      </c>
      <c r="D159" s="233" t="n"/>
      <c r="E159" s="12" t="inlineStr">
        <is>
          <t>x</t>
        </is>
      </c>
      <c r="F159" s="12" t="n"/>
      <c r="G159" s="104" t="n"/>
      <c r="H159" s="104" t="n"/>
      <c r="J159" s="57" t="n"/>
      <c r="K159" s="58" t="n"/>
    </row>
    <row r="160" ht="15.75" customHeight="1" s="215">
      <c r="B160" s="101" t="n">
        <v>149</v>
      </c>
      <c r="C160" s="232" t="inlineStr">
        <is>
          <t>BE-090 – GET /top/paginado (búsqueda paginada de restaurantes)</t>
        </is>
      </c>
      <c r="D160" s="233" t="n"/>
      <c r="E160" s="12" t="inlineStr">
        <is>
          <t>x</t>
        </is>
      </c>
      <c r="F160" s="12" t="n"/>
      <c r="G160" s="104" t="n"/>
      <c r="H160" s="104" t="n"/>
      <c r="J160" s="57" t="n"/>
      <c r="K160" s="58" t="n"/>
    </row>
    <row r="161" ht="15.75" customHeight="1" s="215">
      <c r="B161" s="101" t="n">
        <v>150</v>
      </c>
      <c r="C161" s="232" t="inlineStr">
        <is>
          <t>BE-091 – GET /categorias/top (categorías más usadas)</t>
        </is>
      </c>
      <c r="D161" s="233" t="n"/>
      <c r="E161" s="12" t="inlineStr">
        <is>
          <t>x</t>
        </is>
      </c>
      <c r="F161" s="12" t="n"/>
      <c r="G161" s="104" t="n"/>
      <c r="H161" s="104" t="n"/>
      <c r="J161" s="57" t="n"/>
      <c r="K161" s="58" t="n"/>
    </row>
    <row r="162" ht="15.75" customHeight="1" s="215">
      <c r="B162" s="101" t="n">
        <v>151</v>
      </c>
      <c r="C162" s="232" t="inlineStr">
        <is>
          <t>BE-092 – GET /data-owner/mi-restaurante-info</t>
        </is>
      </c>
      <c r="D162" s="233" t="n"/>
      <c r="E162" s="12" t="inlineStr">
        <is>
          <t>x</t>
        </is>
      </c>
      <c r="F162" s="12" t="n"/>
      <c r="G162" s="104" t="n"/>
      <c r="H162" s="104" t="n"/>
      <c r="J162" s="57" t="n"/>
      <c r="K162" s="58" t="n"/>
    </row>
    <row r="163" ht="15.75" customHeight="1" s="215">
      <c r="B163" s="101" t="n">
        <v>152</v>
      </c>
      <c r="C163" s="232" t="inlineStr">
        <is>
          <t>BE-093 – GET /data-owner/reservas/todas</t>
        </is>
      </c>
      <c r="D163" s="233" t="n"/>
      <c r="E163" s="12" t="inlineStr">
        <is>
          <t>x</t>
        </is>
      </c>
      <c r="F163" s="12" t="n"/>
      <c r="G163" s="104" t="n"/>
      <c r="H163" s="104" t="n"/>
      <c r="J163" s="57" t="n"/>
      <c r="K163" s="58" t="n"/>
    </row>
    <row r="164" ht="15.75" customHeight="1" s="215">
      <c r="B164" s="101" t="n">
        <v>153</v>
      </c>
      <c r="C164" s="232" t="inlineStr">
        <is>
          <t>BE-094 – POST /data-owner/buscar-email</t>
        </is>
      </c>
      <c r="D164" s="233" t="n"/>
      <c r="E164" s="12" t="inlineStr">
        <is>
          <t>x</t>
        </is>
      </c>
      <c r="F164" s="12" t="n"/>
      <c r="G164" s="104" t="n"/>
      <c r="H164" s="104" t="n"/>
      <c r="J164" s="57" t="n"/>
      <c r="K164" s="58" t="n"/>
    </row>
    <row r="165" ht="15.75" customHeight="1" s="215">
      <c r="B165" s="101" t="n">
        <v>154</v>
      </c>
      <c r="C165" s="232" t="inlineStr">
        <is>
          <t>BE-095 – PUT /data-owner/restaurantes/{restaurante_uid}/imagenes</t>
        </is>
      </c>
      <c r="D165" s="233" t="n"/>
      <c r="E165" s="12" t="inlineStr">
        <is>
          <t>x</t>
        </is>
      </c>
      <c r="F165" s="12" t="n"/>
      <c r="G165" s="104" t="n"/>
      <c r="H165" s="104" t="n"/>
      <c r="J165" s="57" t="n"/>
      <c r="K165" s="58" t="n"/>
    </row>
    <row r="166" ht="15.75" customHeight="1" s="215">
      <c r="B166" s="101" t="n">
        <v>155</v>
      </c>
      <c r="C166" s="232" t="inlineStr">
        <is>
          <t>BE-096 – PUT /data-owner/config/smtp</t>
        </is>
      </c>
      <c r="D166" s="233" t="n"/>
      <c r="E166" s="12" t="inlineStr">
        <is>
          <t>x</t>
        </is>
      </c>
      <c r="F166" s="12" t="n"/>
      <c r="G166" s="104" t="n"/>
      <c r="H166" s="104" t="n"/>
      <c r="J166" s="57" t="n"/>
      <c r="K166" s="58" t="n"/>
    </row>
    <row r="167" ht="15.75" customHeight="1" s="215">
      <c r="B167" s="101" t="n">
        <v>156</v>
      </c>
      <c r="C167" s="232" t="inlineStr">
        <is>
          <t>BE-097 – PUT /data-owner/config/imap</t>
        </is>
      </c>
      <c r="D167" s="233" t="n"/>
      <c r="E167" s="12" t="inlineStr">
        <is>
          <t>x</t>
        </is>
      </c>
      <c r="F167" s="12" t="n"/>
      <c r="G167" s="104" t="n"/>
      <c r="H167" s="104" t="n"/>
      <c r="J167" s="57" t="n"/>
      <c r="K167" s="58" t="n"/>
    </row>
    <row r="168" ht="15.75" customHeight="1" s="215">
      <c r="B168" s="101" t="n">
        <v>157</v>
      </c>
      <c r="C168" s="232" t="inlineStr">
        <is>
          <t>BE-098 – POST /data-owner/enviar-correo-propietario</t>
        </is>
      </c>
      <c r="D168" s="233" t="n"/>
      <c r="E168" s="12" t="inlineStr">
        <is>
          <t>x</t>
        </is>
      </c>
      <c r="F168" s="12" t="n"/>
      <c r="G168" s="104" t="n"/>
      <c r="H168" s="104" t="n"/>
      <c r="J168" s="57" t="n"/>
      <c r="K168" s="58" t="n"/>
    </row>
    <row r="169" ht="15.75" customHeight="1" s="215">
      <c r="B169" s="101" t="n">
        <v>158</v>
      </c>
      <c r="C169" s="232" t="inlineStr">
        <is>
          <t>BE-099 – POST /restaurante/upload-imagen (subida a Cloudinary)</t>
        </is>
      </c>
      <c r="D169" s="233" t="n"/>
      <c r="E169" s="12" t="inlineStr">
        <is>
          <t>x</t>
        </is>
      </c>
      <c r="F169" s="12" t="n"/>
      <c r="G169" s="104" t="n"/>
      <c r="H169" s="104" t="n"/>
      <c r="J169" s="57" t="n"/>
      <c r="K169" s="58" t="n"/>
    </row>
    <row r="170" ht="15.75" customHeight="1" s="215">
      <c r="B170" s="101" t="n">
        <v>159</v>
      </c>
      <c r="C170" s="232" t="inlineStr">
        <is>
          <t>BE-100 – PUT /cliente/editarcliente</t>
        </is>
      </c>
      <c r="D170" s="233" t="n"/>
      <c r="E170" s="12" t="inlineStr">
        <is>
          <t>x</t>
        </is>
      </c>
      <c r="F170" s="12" t="n"/>
      <c r="G170" s="104" t="n"/>
      <c r="H170" s="104" t="n"/>
      <c r="J170" s="57" t="n"/>
      <c r="K170" s="58" t="n"/>
    </row>
    <row r="171" ht="15.75" customHeight="1" s="215">
      <c r="B171" s="101" t="n">
        <v>160</v>
      </c>
      <c r="C171" s="232" t="inlineStr">
        <is>
          <t>BE-101 – DELETE /cliente/borrarcliente</t>
        </is>
      </c>
      <c r="D171" s="233" t="n"/>
      <c r="E171" s="12" t="inlineStr">
        <is>
          <t>x</t>
        </is>
      </c>
      <c r="F171" s="12" t="n"/>
      <c r="G171" s="104" t="n"/>
      <c r="H171" s="104" t="n"/>
      <c r="J171" s="57" t="n"/>
      <c r="K171" s="58" t="n"/>
    </row>
    <row r="172" ht="15.75" customHeight="1" s="215">
      <c r="B172" s="101" t="n">
        <v>161</v>
      </c>
      <c r="C172" s="232" t="inlineStr">
        <is>
          <t>BE-102 – GET /cliente/listar_cliente</t>
        </is>
      </c>
      <c r="D172" s="233" t="n"/>
      <c r="E172" s="12" t="inlineStr">
        <is>
          <t>x</t>
        </is>
      </c>
      <c r="F172" s="12" t="n"/>
      <c r="G172" s="104" t="n"/>
      <c r="H172" s="104" t="n"/>
      <c r="J172" s="57" t="n"/>
      <c r="K172" s="58" t="n"/>
    </row>
    <row r="173" ht="15.75" customHeight="1" s="215">
      <c r="B173" s="101" t="n">
        <v>162</v>
      </c>
      <c r="C173" s="232" t="inlineStr">
        <is>
          <t>BE-103 – DELETE /detalle_factura/borrardetallefactura</t>
        </is>
      </c>
      <c r="D173" s="233" t="n"/>
      <c r="E173" s="12" t="inlineStr">
        <is>
          <t>x</t>
        </is>
      </c>
      <c r="F173" s="12" t="n"/>
      <c r="G173" s="104" t="n"/>
      <c r="H173" s="104" t="n"/>
      <c r="J173" s="57" t="n"/>
      <c r="K173" s="58" t="n"/>
    </row>
    <row r="174" ht="15.75" customHeight="1" s="215">
      <c r="B174" s="101" t="n">
        <v>163</v>
      </c>
      <c r="C174" s="232" t="inlineStr">
        <is>
          <t>BE-104 – GET /admin/listar_rol</t>
        </is>
      </c>
      <c r="D174" s="233" t="n"/>
      <c r="E174" s="12" t="inlineStr">
        <is>
          <t>x</t>
        </is>
      </c>
      <c r="F174" s="12" t="n"/>
      <c r="G174" s="104" t="n"/>
      <c r="H174" s="104" t="n"/>
      <c r="J174" s="57" t="n"/>
      <c r="K174" s="58" t="n"/>
    </row>
    <row r="175" ht="15.75" customHeight="1" s="215">
      <c r="B175" s="101" t="n">
        <v>164</v>
      </c>
      <c r="C175" s="232" t="inlineStr">
        <is>
          <t>BE-105 – PUT /admin/editaroles y DELETE /admin/borraroles</t>
        </is>
      </c>
      <c r="D175" s="233" t="n"/>
      <c r="E175" s="12" t="inlineStr">
        <is>
          <t>x</t>
        </is>
      </c>
      <c r="F175" s="12" t="n"/>
      <c r="G175" s="104" t="n"/>
      <c r="H175" s="104" t="n"/>
      <c r="J175" s="57" t="n"/>
      <c r="K175" s="58" t="n"/>
    </row>
    <row r="176" ht="15.75" customHeight="1" s="215">
      <c r="B176" s="101" t="n">
        <v>165</v>
      </c>
      <c r="C176" s="232" t="inlineStr">
        <is>
          <t>BE-106 – DELETE /comentarios/borrarcomentario</t>
        </is>
      </c>
      <c r="D176" s="233" t="n"/>
      <c r="E176" s="12" t="inlineStr">
        <is>
          <t>x</t>
        </is>
      </c>
      <c r="F176" s="12" t="n"/>
      <c r="G176" s="104" t="n"/>
      <c r="H176" s="104" t="n"/>
      <c r="J176" s="57" t="n"/>
      <c r="K176" s="58" t="n"/>
    </row>
    <row r="177" ht="15.75" customHeight="1" s="215">
      <c r="B177" s="101" t="n">
        <v>166</v>
      </c>
      <c r="C177" s="232" t="inlineStr">
        <is>
          <t>BE-107 – GET /comentarios/verificar/{restaurante_uid}</t>
        </is>
      </c>
      <c r="D177" s="233" t="n"/>
      <c r="E177" s="12" t="inlineStr">
        <is>
          <t>x</t>
        </is>
      </c>
      <c r="F177" s="12" t="n"/>
      <c r="G177" s="104" t="n"/>
      <c r="H177" s="104" t="n"/>
      <c r="J177" s="57" t="n"/>
      <c r="K177" s="58" t="n"/>
    </row>
    <row r="178" ht="15.75" customHeight="1" s="215">
      <c r="B178" s="101" t="n">
        <v>167</v>
      </c>
      <c r="C178" s="232" t="inlineStr">
        <is>
          <t>BE-108 – DELETE /calculos_mensuales/borrar_calculo_mensual y GET /calculos_mensuales/listar_calculo_mensual</t>
        </is>
      </c>
      <c r="D178" s="233" t="n"/>
      <c r="E178" s="12" t="inlineStr">
        <is>
          <t>x</t>
        </is>
      </c>
      <c r="F178" s="12" t="n"/>
      <c r="G178" s="104" t="n"/>
      <c r="H178" s="104" t="n"/>
      <c r="J178" s="57" t="n"/>
      <c r="K178" s="58" t="n"/>
    </row>
    <row r="179" ht="15.75" customHeight="1" s="215"/>
    <row r="180" ht="15.75" customHeight="1" s="215"/>
    <row r="181" ht="15.75" customHeight="1" s="215"/>
    <row r="182" ht="15.75" customHeight="1" s="215"/>
    <row r="183" ht="15.75" customHeight="1" s="215"/>
    <row r="184" ht="15.75" customHeight="1" s="215"/>
    <row r="185" ht="15.75" customHeight="1" s="215"/>
    <row r="186" ht="15.75" customHeight="1" s="215"/>
    <row r="187" ht="15.75" customHeight="1" s="215"/>
    <row r="188" ht="15.75" customHeight="1" s="215"/>
    <row r="189" ht="15.75" customHeight="1" s="215"/>
    <row r="190" ht="15.75" customHeight="1" s="215"/>
    <row r="191" ht="15.75" customHeight="1" s="215"/>
    <row r="192" ht="15.75" customHeight="1" s="215"/>
    <row r="193" ht="15.75" customHeight="1" s="215"/>
    <row r="194" ht="15.75" customHeight="1" s="215"/>
    <row r="195" ht="15.75" customHeight="1" s="215"/>
    <row r="196" ht="15.75" customHeight="1" s="215"/>
    <row r="197" ht="15.75" customHeight="1" s="215"/>
    <row r="198" ht="15.75" customHeight="1" s="215"/>
    <row r="199" ht="15.75" customHeight="1" s="215"/>
    <row r="200" ht="15.75" customHeight="1" s="215"/>
    <row r="201" ht="15.75" customHeight="1" s="215"/>
    <row r="202" ht="15.75" customHeight="1" s="215"/>
    <row r="203" ht="15.75" customHeight="1" s="215"/>
    <row r="204" ht="15.75" customHeight="1" s="215"/>
    <row r="205" ht="15.75" customHeight="1" s="215"/>
    <row r="206" ht="15.75" customHeight="1" s="215"/>
    <row r="207" ht="15.75" customHeight="1" s="215"/>
    <row r="208" ht="15.75" customHeight="1" s="215"/>
    <row r="209" ht="15.75" customHeight="1" s="215"/>
    <row r="210" ht="15.75" customHeight="1" s="215"/>
    <row r="211" ht="15.75" customHeight="1" s="215"/>
    <row r="212" ht="15.75" customHeight="1" s="215"/>
    <row r="213" ht="15.75" customHeight="1" s="215"/>
    <row r="214" ht="15.75" customHeight="1" s="215"/>
    <row r="215" ht="15.75" customHeight="1" s="215"/>
    <row r="216" ht="15.75" customHeight="1" s="215"/>
    <row r="217" ht="15.75" customHeight="1" s="215"/>
    <row r="218" ht="15.75" customHeight="1" s="215"/>
    <row r="219" ht="15.75" customHeight="1" s="215"/>
    <row r="220" ht="15.75" customHeight="1" s="215"/>
    <row r="221" ht="15.75" customHeight="1" s="215"/>
    <row r="222" ht="15.75" customHeight="1" s="215"/>
    <row r="223" ht="15.75" customHeight="1" s="215"/>
    <row r="224" ht="15.75" customHeight="1" s="215"/>
    <row r="225" ht="15.75" customHeight="1" s="215"/>
    <row r="226" ht="15.75" customHeight="1" s="215"/>
    <row r="227" ht="15.75" customHeight="1" s="215"/>
    <row r="228" ht="15.75" customHeight="1" s="215"/>
    <row r="229" ht="15.75" customHeight="1" s="215"/>
    <row r="230" ht="15.75" customHeight="1" s="215"/>
    <row r="231" ht="15.75" customHeight="1" s="215"/>
    <row r="232" ht="15.75" customHeight="1" s="215"/>
    <row r="233" ht="15.75" customHeight="1" s="215"/>
    <row r="234" ht="15.75" customHeight="1" s="215"/>
    <row r="235" ht="15.75" customHeight="1" s="215"/>
    <row r="236" ht="15.75" customHeight="1" s="215"/>
    <row r="237" ht="15.75" customHeight="1" s="215"/>
    <row r="238" ht="15.75" customHeight="1" s="215"/>
    <row r="239" ht="15.75" customHeight="1" s="215"/>
    <row r="240" ht="15.75" customHeight="1" s="215"/>
    <row r="241" ht="15.75" customHeight="1" s="215"/>
    <row r="242" ht="15.75" customHeight="1" s="215"/>
    <row r="243" ht="15.75" customHeight="1" s="215"/>
    <row r="244" ht="15.75" customHeight="1" s="215"/>
    <row r="245" ht="15.75" customHeight="1" s="215"/>
    <row r="246" ht="15.75" customHeight="1" s="215"/>
    <row r="247" ht="15.75" customHeight="1" s="215"/>
    <row r="248" ht="15.75" customHeight="1" s="215"/>
    <row r="249" ht="15.75" customHeight="1" s="215"/>
    <row r="250" ht="15.75" customHeight="1" s="215"/>
    <row r="251" ht="15.75" customHeight="1" s="215"/>
    <row r="252" ht="15.75" customHeight="1" s="215"/>
    <row r="253" ht="15.75" customHeight="1" s="215"/>
    <row r="254" ht="15.75" customHeight="1" s="215"/>
    <row r="255" ht="15.75" customHeight="1" s="215"/>
    <row r="256" ht="15.75" customHeight="1" s="215"/>
    <row r="257" ht="15.75" customHeight="1" s="215"/>
    <row r="258" ht="15.75" customHeight="1" s="215"/>
    <row r="259" ht="15.75" customHeight="1" s="215"/>
    <row r="260" ht="15.75" customHeight="1" s="215"/>
    <row r="261" ht="15.75" customHeight="1" s="215"/>
    <row r="262" ht="15.75" customHeight="1" s="215"/>
    <row r="263" ht="15.75" customHeight="1" s="215"/>
    <row r="264" ht="15.75" customHeight="1" s="215"/>
    <row r="265" ht="15.75" customHeight="1" s="215"/>
    <row r="266" ht="15.75" customHeight="1" s="215"/>
    <row r="267" ht="15.75" customHeight="1" s="215"/>
    <row r="268" ht="15.75" customHeight="1" s="215"/>
    <row r="269" ht="15.75" customHeight="1" s="215"/>
    <row r="270" ht="15.75" customHeight="1" s="215"/>
    <row r="271" ht="15.75" customHeight="1" s="215"/>
    <row r="272" ht="15.75" customHeight="1" s="215"/>
    <row r="273" ht="15.75" customHeight="1" s="215"/>
    <row r="274" ht="15.75" customHeight="1" s="215"/>
    <row r="275" ht="15.75" customHeight="1" s="215"/>
    <row r="276" ht="15.75" customHeight="1" s="215"/>
    <row r="277" ht="15.75" customHeight="1" s="215"/>
    <row r="278" ht="15.75" customHeight="1" s="215"/>
    <row r="279" ht="15.75" customHeight="1" s="215"/>
    <row r="280" ht="15.75" customHeight="1" s="215"/>
    <row r="281" ht="15.75" customHeight="1" s="215"/>
    <row r="282" ht="15.75" customHeight="1" s="215"/>
    <row r="283" ht="15.75" customHeight="1" s="215"/>
    <row r="284" ht="15.75" customHeight="1" s="215"/>
    <row r="285" ht="15.75" customHeight="1" s="215"/>
    <row r="286" ht="15.75" customHeight="1" s="215"/>
    <row r="287" ht="15.75" customHeight="1" s="215"/>
    <row r="288" ht="15.75" customHeight="1" s="215"/>
    <row r="289" ht="15.75" customHeight="1" s="215"/>
    <row r="290" ht="15.75" customHeight="1" s="215"/>
    <row r="291" ht="15.75" customHeight="1" s="215"/>
    <row r="292" ht="15.75" customHeight="1" s="215"/>
    <row r="293" ht="15.75" customHeight="1" s="215"/>
    <row r="294" ht="15.75" customHeight="1" s="215"/>
    <row r="295" ht="15.75" customHeight="1" s="215"/>
    <row r="296" ht="15.75" customHeight="1" s="215"/>
    <row r="297" ht="15.75" customHeight="1" s="215"/>
    <row r="298" ht="15.75" customHeight="1" s="215"/>
    <row r="299" ht="15.75" customHeight="1" s="215"/>
    <row r="300" ht="15.75" customHeight="1" s="215"/>
    <row r="301" ht="15.75" customHeight="1" s="215"/>
    <row r="302" ht="15.75" customHeight="1" s="215"/>
    <row r="303" ht="15.75" customHeight="1" s="215"/>
    <row r="304" ht="15.75" customHeight="1" s="215"/>
    <row r="305" ht="15.75" customHeight="1" s="215"/>
    <row r="306" ht="15.75" customHeight="1" s="215"/>
    <row r="307" ht="15.75" customHeight="1" s="215"/>
    <row r="308" ht="15.75" customHeight="1" s="215"/>
    <row r="309" ht="15.75" customHeight="1" s="215"/>
    <row r="310" ht="15.75" customHeight="1" s="215"/>
    <row r="311" ht="15.75" customHeight="1" s="215"/>
    <row r="312" ht="15.75" customHeight="1" s="215"/>
    <row r="313" ht="15.75" customHeight="1" s="215"/>
    <row r="314" ht="15.75" customHeight="1" s="215"/>
    <row r="315" ht="15.75" customHeight="1" s="215"/>
    <row r="316" ht="15.75" customHeight="1" s="215"/>
    <row r="317" ht="15.75" customHeight="1" s="215"/>
    <row r="318" ht="15.75" customHeight="1" s="215"/>
    <row r="319" ht="15.75" customHeight="1" s="215"/>
    <row r="320" ht="15.75" customHeight="1" s="215"/>
    <row r="321" ht="15.75" customHeight="1" s="215"/>
    <row r="322" ht="15.75" customHeight="1" s="215"/>
    <row r="323" ht="15.75" customHeight="1" s="215"/>
    <row r="324" ht="15.75" customHeight="1" s="215"/>
    <row r="325" ht="15.75" customHeight="1" s="215"/>
    <row r="326" ht="15.75" customHeight="1" s="215"/>
    <row r="327" ht="15.75" customHeight="1" s="215"/>
    <row r="328" ht="15.75" customHeight="1" s="215"/>
    <row r="329" ht="15.75" customHeight="1" s="215"/>
    <row r="330" ht="15.75" customHeight="1" s="215"/>
    <row r="331" ht="15.75" customHeight="1" s="215"/>
    <row r="332" ht="15.75" customHeight="1" s="215"/>
    <row r="333" ht="15.75" customHeight="1" s="215"/>
    <row r="334" ht="15.75" customHeight="1" s="215"/>
    <row r="335" ht="15.75" customHeight="1" s="215"/>
    <row r="336" ht="15.75" customHeight="1" s="215"/>
    <row r="337" ht="15.75" customHeight="1" s="215"/>
    <row r="338" ht="15.75" customHeight="1" s="215"/>
    <row r="339" ht="15.75" customHeight="1" s="215"/>
    <row r="340" ht="15.75" customHeight="1" s="215"/>
    <row r="341" ht="15.75" customHeight="1" s="215"/>
    <row r="342" ht="15.75" customHeight="1" s="215"/>
    <row r="343" ht="15.75" customHeight="1" s="215"/>
    <row r="344" ht="15.75" customHeight="1" s="215"/>
    <row r="345" ht="15.75" customHeight="1" s="215"/>
    <row r="346" ht="15.75" customHeight="1" s="215"/>
    <row r="347" ht="15.75" customHeight="1" s="215"/>
    <row r="348" ht="15.75" customHeight="1" s="215"/>
    <row r="349" ht="15.75" customHeight="1" s="215"/>
    <row r="350" ht="15.75" customHeight="1" s="215"/>
    <row r="351" ht="15.75" customHeight="1" s="215"/>
    <row r="352" ht="15.75" customHeight="1" s="215"/>
    <row r="353" ht="15.75" customHeight="1" s="215"/>
    <row r="354" ht="15.75" customHeight="1" s="215"/>
    <row r="355" ht="15.75" customHeight="1" s="215"/>
    <row r="356" ht="15.75" customHeight="1" s="215"/>
    <row r="357" ht="15.75" customHeight="1" s="215"/>
    <row r="358" ht="15.75" customHeight="1" s="215"/>
    <row r="359" ht="15.75" customHeight="1" s="215"/>
    <row r="360" ht="15.75" customHeight="1" s="215"/>
    <row r="361" ht="15.75" customHeight="1" s="215"/>
    <row r="362" ht="15.75" customHeight="1" s="215"/>
    <row r="363" ht="15.75" customHeight="1" s="215"/>
    <row r="364" ht="15.75" customHeight="1" s="215"/>
    <row r="365" ht="15.75" customHeight="1" s="215"/>
    <row r="366" ht="15.75" customHeight="1" s="215"/>
    <row r="367" ht="15.75" customHeight="1" s="215"/>
    <row r="368" ht="15.75" customHeight="1" s="215"/>
    <row r="369" ht="15.75" customHeight="1" s="215"/>
    <row r="370" ht="15.75" customHeight="1" s="215"/>
    <row r="371" ht="15.75" customHeight="1" s="215"/>
    <row r="372" ht="15.75" customHeight="1" s="215"/>
    <row r="373" ht="15.75" customHeight="1" s="215"/>
    <row r="374" ht="15.75" customHeight="1" s="215"/>
    <row r="375" ht="15.75" customHeight="1" s="215"/>
    <row r="376" ht="15.75" customHeight="1" s="215"/>
    <row r="377" ht="15.75" customHeight="1" s="215"/>
    <row r="378" ht="15.75" customHeight="1" s="215"/>
    <row r="379" ht="15.75" customHeight="1" s="215"/>
    <row r="380" ht="15.75" customHeight="1" s="215"/>
    <row r="381" ht="15.75" customHeight="1" s="215"/>
    <row r="382" ht="15.75" customHeight="1" s="215"/>
    <row r="383" ht="15.75" customHeight="1" s="215"/>
    <row r="384" ht="15.75" customHeight="1" s="215"/>
    <row r="385" ht="15.75" customHeight="1" s="215"/>
    <row r="386" ht="15.75" customHeight="1" s="215"/>
    <row r="387" ht="15.75" customHeight="1" s="215"/>
    <row r="388" ht="15.75" customHeight="1" s="215"/>
    <row r="389" ht="15.75" customHeight="1" s="215"/>
    <row r="390" ht="15.75" customHeight="1" s="215"/>
    <row r="391" ht="15.75" customHeight="1" s="215"/>
    <row r="392" ht="15.75" customHeight="1" s="215"/>
    <row r="393" ht="15.75" customHeight="1" s="215"/>
    <row r="394" ht="15.75" customHeight="1" s="215"/>
    <row r="395" ht="15.75" customHeight="1" s="215"/>
    <row r="396" ht="15.75" customHeight="1" s="215"/>
    <row r="397" ht="15.75" customHeight="1" s="215"/>
    <row r="398" ht="15.75" customHeight="1" s="215"/>
    <row r="399" ht="15.75" customHeight="1" s="215"/>
    <row r="400" ht="15.75" customHeight="1" s="215"/>
    <row r="401" ht="15.75" customHeight="1" s="215"/>
    <row r="402" ht="15.75" customHeight="1" s="215"/>
    <row r="403" ht="15.75" customHeight="1" s="215"/>
    <row r="404" ht="15.75" customHeight="1" s="215"/>
    <row r="405" ht="15.75" customHeight="1" s="215"/>
    <row r="406" ht="15.75" customHeight="1" s="215"/>
    <row r="407" ht="15.75" customHeight="1" s="215"/>
    <row r="408" ht="15.75" customHeight="1" s="215"/>
    <row r="409" ht="15.75" customHeight="1" s="215"/>
    <row r="410" ht="15.75" customHeight="1" s="215"/>
    <row r="411" ht="15.75" customHeight="1" s="215"/>
    <row r="412" ht="15.75" customHeight="1" s="215"/>
    <row r="413" ht="15.75" customHeight="1" s="215"/>
    <row r="414" ht="15.75" customHeight="1" s="215"/>
    <row r="415" ht="15.75" customHeight="1" s="215"/>
    <row r="416" ht="15.75" customHeight="1" s="215"/>
    <row r="417" ht="15.75" customHeight="1" s="215"/>
    <row r="418" ht="15.75" customHeight="1" s="215"/>
    <row r="419" ht="15.75" customHeight="1" s="215"/>
    <row r="420" ht="15.75" customHeight="1" s="215"/>
    <row r="421" ht="15.75" customHeight="1" s="215"/>
    <row r="422" ht="15.75" customHeight="1" s="215"/>
    <row r="423" ht="15.75" customHeight="1" s="215"/>
    <row r="424" ht="15.75" customHeight="1" s="215"/>
    <row r="425" ht="15.75" customHeight="1" s="215"/>
    <row r="426" ht="15.75" customHeight="1" s="215"/>
    <row r="427" ht="15.75" customHeight="1" s="215"/>
    <row r="428" ht="15.75" customHeight="1" s="215"/>
    <row r="429" ht="15.75" customHeight="1" s="215"/>
    <row r="430" ht="15.75" customHeight="1" s="215"/>
    <row r="431" ht="15.75" customHeight="1" s="215"/>
    <row r="432" ht="15.75" customHeight="1" s="215"/>
    <row r="433" ht="15.75" customHeight="1" s="215"/>
    <row r="434" ht="15.75" customHeight="1" s="215"/>
    <row r="435" ht="15.75" customHeight="1" s="215"/>
    <row r="436" ht="15.75" customHeight="1" s="215"/>
    <row r="437" ht="15.75" customHeight="1" s="215"/>
    <row r="438" ht="15.75" customHeight="1" s="215"/>
    <row r="439" ht="15.75" customHeight="1" s="215"/>
    <row r="440" ht="15.75" customHeight="1" s="215"/>
    <row r="441" ht="15.75" customHeight="1" s="215"/>
    <row r="442" ht="15.75" customHeight="1" s="215"/>
    <row r="443" ht="15.75" customHeight="1" s="215"/>
    <row r="444" ht="15.75" customHeight="1" s="215"/>
    <row r="445" ht="15.75" customHeight="1" s="215"/>
    <row r="446" ht="15.75" customHeight="1" s="215"/>
    <row r="447" ht="15.75" customHeight="1" s="215"/>
    <row r="448" ht="15.75" customHeight="1" s="215"/>
    <row r="449" ht="15.75" customHeight="1" s="215"/>
    <row r="450" ht="15.75" customHeight="1" s="215"/>
    <row r="451" ht="15.75" customHeight="1" s="215"/>
    <row r="452" ht="15.75" customHeight="1" s="215"/>
    <row r="453" ht="15.75" customHeight="1" s="215"/>
    <row r="454" ht="15.75" customHeight="1" s="215"/>
    <row r="455" ht="15.75" customHeight="1" s="215"/>
    <row r="456" ht="15.75" customHeight="1" s="215"/>
    <row r="457" ht="15.75" customHeight="1" s="215"/>
    <row r="458" ht="15.75" customHeight="1" s="215"/>
    <row r="459" ht="15.75" customHeight="1" s="215"/>
    <row r="460" ht="15.75" customHeight="1" s="215"/>
    <row r="461" ht="15.75" customHeight="1" s="215"/>
    <row r="462" ht="15.75" customHeight="1" s="215"/>
    <row r="463" ht="15.75" customHeight="1" s="215"/>
    <row r="464" ht="15.75" customHeight="1" s="215"/>
    <row r="465" ht="15.75" customHeight="1" s="215"/>
    <row r="466" ht="15.75" customHeight="1" s="215"/>
    <row r="467" ht="15.75" customHeight="1" s="215"/>
    <row r="468" ht="15.75" customHeight="1" s="215"/>
    <row r="469" ht="15.75" customHeight="1" s="215"/>
    <row r="470" ht="15.75" customHeight="1" s="215"/>
    <row r="471" ht="15.75" customHeight="1" s="215"/>
    <row r="472" ht="15.75" customHeight="1" s="215"/>
    <row r="473" ht="15.75" customHeight="1" s="215"/>
    <row r="474" ht="15.75" customHeight="1" s="215"/>
    <row r="475" ht="15.75" customHeight="1" s="215"/>
    <row r="476" ht="15.75" customHeight="1" s="215"/>
    <row r="477" ht="15.75" customHeight="1" s="215"/>
    <row r="478" ht="15.75" customHeight="1" s="215"/>
    <row r="479" ht="15.75" customHeight="1" s="215"/>
    <row r="480" ht="15.75" customHeight="1" s="215"/>
    <row r="481" ht="15.75" customHeight="1" s="215"/>
    <row r="482" ht="15.75" customHeight="1" s="215"/>
    <row r="483" ht="15.75" customHeight="1" s="215"/>
    <row r="484" ht="15.75" customHeight="1" s="215"/>
    <row r="485" ht="15.75" customHeight="1" s="215"/>
    <row r="486" ht="15.75" customHeight="1" s="215"/>
    <row r="487" ht="15.75" customHeight="1" s="215"/>
    <row r="488" ht="15.75" customHeight="1" s="215"/>
    <row r="489" ht="15.75" customHeight="1" s="215"/>
    <row r="490" ht="15.75" customHeight="1" s="215"/>
    <row r="491" ht="15.75" customHeight="1" s="215"/>
    <row r="492" ht="15.75" customHeight="1" s="215"/>
    <row r="493" ht="15.75" customHeight="1" s="215"/>
    <row r="494" ht="15.75" customHeight="1" s="215"/>
    <row r="495" ht="15.75" customHeight="1" s="215"/>
    <row r="496" ht="15.75" customHeight="1" s="215"/>
    <row r="497" ht="15.75" customHeight="1" s="215"/>
    <row r="498" ht="15.75" customHeight="1" s="215"/>
    <row r="499" ht="15.75" customHeight="1" s="215"/>
    <row r="500" ht="15.75" customHeight="1" s="215"/>
    <row r="501" ht="15.75" customHeight="1" s="215"/>
    <row r="502" ht="15.75" customHeight="1" s="215"/>
    <row r="503" ht="15.75" customHeight="1" s="215"/>
    <row r="504" ht="15.75" customHeight="1" s="215"/>
    <row r="505" ht="15.75" customHeight="1" s="215"/>
    <row r="506" ht="15.75" customHeight="1" s="215"/>
    <row r="507" ht="15.75" customHeight="1" s="215"/>
    <row r="508" ht="15.75" customHeight="1" s="215"/>
    <row r="509" ht="15.75" customHeight="1" s="215"/>
    <row r="510" ht="15.75" customHeight="1" s="215"/>
    <row r="511" ht="15.75" customHeight="1" s="215"/>
    <row r="512" ht="15.75" customHeight="1" s="215"/>
    <row r="513" ht="15.75" customHeight="1" s="215"/>
    <row r="514" ht="15.75" customHeight="1" s="215"/>
    <row r="515" ht="15.75" customHeight="1" s="215"/>
    <row r="516" ht="15.75" customHeight="1" s="215"/>
    <row r="517" ht="15.75" customHeight="1" s="215"/>
    <row r="518" ht="15.75" customHeight="1" s="215"/>
    <row r="519" ht="15.75" customHeight="1" s="215"/>
    <row r="520" ht="15.75" customHeight="1" s="215"/>
    <row r="521" ht="15.75" customHeight="1" s="215"/>
    <row r="522" ht="15.75" customHeight="1" s="215"/>
    <row r="523" ht="15.75" customHeight="1" s="215"/>
    <row r="524" ht="15.75" customHeight="1" s="215"/>
    <row r="525" ht="15.75" customHeight="1" s="215"/>
    <row r="526" ht="15.75" customHeight="1" s="215"/>
    <row r="527" ht="15.75" customHeight="1" s="215"/>
    <row r="528" ht="15.75" customHeight="1" s="215"/>
    <row r="529" ht="15.75" customHeight="1" s="215"/>
    <row r="530" ht="15.75" customHeight="1" s="215"/>
    <row r="531" ht="15.75" customHeight="1" s="215"/>
    <row r="532" ht="15.75" customHeight="1" s="215"/>
    <row r="533" ht="15.75" customHeight="1" s="215"/>
    <row r="534" ht="15.75" customHeight="1" s="215"/>
    <row r="535" ht="15.75" customHeight="1" s="215"/>
    <row r="536" ht="15.75" customHeight="1" s="215"/>
    <row r="537" ht="15.75" customHeight="1" s="215"/>
    <row r="538" ht="15.75" customHeight="1" s="215"/>
    <row r="539" ht="15.75" customHeight="1" s="215"/>
    <row r="540" ht="15.75" customHeight="1" s="215"/>
    <row r="541" ht="15.75" customHeight="1" s="215"/>
    <row r="542" ht="15.75" customHeight="1" s="215"/>
    <row r="543" ht="15.75" customHeight="1" s="215"/>
    <row r="544" ht="15.75" customHeight="1" s="215"/>
    <row r="545" ht="15.75" customHeight="1" s="215"/>
    <row r="546" ht="15.75" customHeight="1" s="215"/>
    <row r="547" ht="15.75" customHeight="1" s="215"/>
    <row r="548" ht="15.75" customHeight="1" s="215"/>
    <row r="549" ht="15.75" customHeight="1" s="215"/>
    <row r="550" ht="15.75" customHeight="1" s="215"/>
    <row r="551" ht="15.75" customHeight="1" s="215"/>
    <row r="552" ht="15.75" customHeight="1" s="215"/>
    <row r="553" ht="15.75" customHeight="1" s="215"/>
    <row r="554" ht="15.75" customHeight="1" s="215"/>
    <row r="555" ht="15.75" customHeight="1" s="215"/>
    <row r="556" ht="15.75" customHeight="1" s="215"/>
    <row r="557" ht="15.75" customHeight="1" s="215"/>
    <row r="558" ht="15.75" customHeight="1" s="215"/>
    <row r="559" ht="15.75" customHeight="1" s="215"/>
    <row r="560" ht="15.75" customHeight="1" s="215"/>
    <row r="561" ht="15.75" customHeight="1" s="215"/>
    <row r="562" ht="15.75" customHeight="1" s="215"/>
    <row r="563" ht="15.75" customHeight="1" s="215"/>
    <row r="564" ht="15.75" customHeight="1" s="215"/>
    <row r="565" ht="15.75" customHeight="1" s="215"/>
    <row r="566" ht="15.75" customHeight="1" s="215"/>
    <row r="567" ht="15.75" customHeight="1" s="215"/>
    <row r="568" ht="15.75" customHeight="1" s="215"/>
    <row r="569" ht="15.75" customHeight="1" s="215"/>
    <row r="570" ht="15.75" customHeight="1" s="215"/>
    <row r="571" ht="15.75" customHeight="1" s="215"/>
    <row r="572" ht="15.75" customHeight="1" s="215"/>
    <row r="573" ht="15.75" customHeight="1" s="215"/>
    <row r="574" ht="15.75" customHeight="1" s="215"/>
    <row r="575" ht="15.75" customHeight="1" s="215"/>
    <row r="576" ht="15.75" customHeight="1" s="215"/>
    <row r="577" ht="15.75" customHeight="1" s="215"/>
    <row r="578" ht="15.75" customHeight="1" s="215"/>
    <row r="579" ht="15.75" customHeight="1" s="215"/>
    <row r="580" ht="15.75" customHeight="1" s="215"/>
    <row r="581" ht="15.75" customHeight="1" s="215"/>
    <row r="582" ht="15.75" customHeight="1" s="215"/>
    <row r="583" ht="15.75" customHeight="1" s="215"/>
    <row r="584" ht="15.75" customHeight="1" s="215"/>
    <row r="585" ht="15.75" customHeight="1" s="215"/>
    <row r="586" ht="15.75" customHeight="1" s="215"/>
    <row r="587" ht="15.75" customHeight="1" s="215"/>
    <row r="588" ht="15.75" customHeight="1" s="215"/>
    <row r="589" ht="15.75" customHeight="1" s="215"/>
    <row r="590" ht="15.75" customHeight="1" s="215"/>
    <row r="591" ht="15.75" customHeight="1" s="215"/>
    <row r="592" ht="15.75" customHeight="1" s="215"/>
    <row r="593" ht="15.75" customHeight="1" s="215"/>
    <row r="594" ht="15.75" customHeight="1" s="215"/>
    <row r="595" ht="15.75" customHeight="1" s="215"/>
    <row r="596" ht="15.75" customHeight="1" s="215"/>
    <row r="597" ht="15.75" customHeight="1" s="215"/>
    <row r="598" ht="15.75" customHeight="1" s="215"/>
    <row r="599" ht="15.75" customHeight="1" s="215"/>
    <row r="600" ht="15.75" customHeight="1" s="215"/>
    <row r="601" ht="15.75" customHeight="1" s="215"/>
    <row r="602" ht="15.75" customHeight="1" s="215"/>
    <row r="603" ht="15.75" customHeight="1" s="215"/>
    <row r="604" ht="15.75" customHeight="1" s="215"/>
    <row r="605" ht="15.75" customHeight="1" s="215"/>
    <row r="606" ht="15.75" customHeight="1" s="215"/>
    <row r="607" ht="15.75" customHeight="1" s="215"/>
    <row r="608" ht="15.75" customHeight="1" s="215"/>
    <row r="609" ht="15.75" customHeight="1" s="215"/>
    <row r="610" ht="15.75" customHeight="1" s="215"/>
    <row r="611" ht="15.75" customHeight="1" s="215"/>
    <row r="612" ht="15.75" customHeight="1" s="215"/>
    <row r="613" ht="15.75" customHeight="1" s="215"/>
    <row r="614" ht="15.75" customHeight="1" s="215"/>
    <row r="615" ht="15.75" customHeight="1" s="215"/>
    <row r="616" ht="15.75" customHeight="1" s="215"/>
    <row r="617" ht="15.75" customHeight="1" s="215"/>
    <row r="618" ht="15.75" customHeight="1" s="215"/>
    <row r="619" ht="15.75" customHeight="1" s="215"/>
    <row r="620" ht="15.75" customHeight="1" s="215"/>
    <row r="621" ht="15.75" customHeight="1" s="215"/>
    <row r="622" ht="15.75" customHeight="1" s="215"/>
    <row r="623" ht="15.75" customHeight="1" s="215"/>
    <row r="624" ht="15.75" customHeight="1" s="215"/>
    <row r="625" ht="15.75" customHeight="1" s="215"/>
    <row r="626" ht="15.75" customHeight="1" s="215"/>
    <row r="627" ht="15.75" customHeight="1" s="215"/>
    <row r="628" ht="15.75" customHeight="1" s="215"/>
    <row r="629" ht="15.75" customHeight="1" s="215"/>
    <row r="630" ht="15.75" customHeight="1" s="215"/>
    <row r="631" ht="15.75" customHeight="1" s="215"/>
    <row r="632" ht="15.75" customHeight="1" s="215"/>
    <row r="633" ht="15.75" customHeight="1" s="215"/>
    <row r="634" ht="15.75" customHeight="1" s="215"/>
    <row r="635" ht="15.75" customHeight="1" s="215"/>
    <row r="636" ht="15.75" customHeight="1" s="215"/>
    <row r="637" ht="15.75" customHeight="1" s="215"/>
    <row r="638" ht="15.75" customHeight="1" s="215"/>
    <row r="639" ht="15.75" customHeight="1" s="215"/>
    <row r="640" ht="15.75" customHeight="1" s="215"/>
    <row r="641" ht="15.75" customHeight="1" s="215"/>
    <row r="642" ht="15.75" customHeight="1" s="215"/>
    <row r="643" ht="15.75" customHeight="1" s="215"/>
    <row r="644" ht="15.75" customHeight="1" s="215"/>
    <row r="645" ht="15.75" customHeight="1" s="215"/>
    <row r="646" ht="15.75" customHeight="1" s="215"/>
    <row r="647" ht="15.75" customHeight="1" s="215"/>
    <row r="648" ht="15.75" customHeight="1" s="215"/>
    <row r="649" ht="15.75" customHeight="1" s="215"/>
    <row r="650" ht="15.75" customHeight="1" s="215"/>
    <row r="651" ht="15.75" customHeight="1" s="215"/>
    <row r="652" ht="15.75" customHeight="1" s="215"/>
    <row r="653" ht="15.75" customHeight="1" s="215"/>
    <row r="654" ht="15.75" customHeight="1" s="215"/>
    <row r="655" ht="15.75" customHeight="1" s="215"/>
    <row r="656" ht="15.75" customHeight="1" s="215"/>
    <row r="657" ht="15.75" customHeight="1" s="215"/>
    <row r="658" ht="15.75" customHeight="1" s="215"/>
    <row r="659" ht="15.75" customHeight="1" s="215"/>
    <row r="660" ht="15.75" customHeight="1" s="215"/>
    <row r="661" ht="15.75" customHeight="1" s="215"/>
    <row r="662" ht="15.75" customHeight="1" s="215"/>
    <row r="663" ht="15.75" customHeight="1" s="215"/>
    <row r="664" ht="15.75" customHeight="1" s="215"/>
    <row r="665" ht="15.75" customHeight="1" s="215"/>
    <row r="666" ht="15.75" customHeight="1" s="215"/>
    <row r="667" ht="15.75" customHeight="1" s="215"/>
    <row r="668" ht="15.75" customHeight="1" s="215"/>
    <row r="669" ht="15.75" customHeight="1" s="215"/>
    <row r="670" ht="15.75" customHeight="1" s="215"/>
    <row r="671" ht="15.75" customHeight="1" s="215"/>
    <row r="672" ht="15.75" customHeight="1" s="215"/>
    <row r="673" ht="15.75" customHeight="1" s="215"/>
    <row r="674" ht="15.75" customHeight="1" s="215"/>
    <row r="675" ht="15.75" customHeight="1" s="215"/>
    <row r="676" ht="15.75" customHeight="1" s="215"/>
    <row r="677" ht="15.75" customHeight="1" s="215"/>
    <row r="678" ht="15.75" customHeight="1" s="215"/>
    <row r="679" ht="15.75" customHeight="1" s="215"/>
    <row r="680" ht="15.75" customHeight="1" s="215"/>
    <row r="681" ht="15.75" customHeight="1" s="215"/>
    <row r="682" ht="15.75" customHeight="1" s="215"/>
    <row r="683" ht="15.75" customHeight="1" s="215"/>
    <row r="684" ht="15.75" customHeight="1" s="215"/>
    <row r="685" ht="15.75" customHeight="1" s="215"/>
    <row r="686" ht="15.75" customHeight="1" s="215"/>
    <row r="687" ht="15.75" customHeight="1" s="215"/>
    <row r="688" ht="15.75" customHeight="1" s="215"/>
    <row r="689" ht="15.75" customHeight="1" s="215"/>
    <row r="690" ht="15.75" customHeight="1" s="215"/>
    <row r="691" ht="15.75" customHeight="1" s="215"/>
    <row r="692" ht="15.75" customHeight="1" s="215"/>
    <row r="693" ht="15.75" customHeight="1" s="215"/>
    <row r="694" ht="15.75" customHeight="1" s="215"/>
    <row r="695" ht="15.75" customHeight="1" s="215"/>
    <row r="696" ht="15.75" customHeight="1" s="215"/>
    <row r="697" ht="15.75" customHeight="1" s="215"/>
    <row r="698" ht="15.75" customHeight="1" s="215"/>
    <row r="699" ht="15.75" customHeight="1" s="215"/>
    <row r="700" ht="15.75" customHeight="1" s="215"/>
    <row r="701" ht="15.75" customHeight="1" s="215"/>
    <row r="702" ht="15.75" customHeight="1" s="215"/>
    <row r="703" ht="15.75" customHeight="1" s="215"/>
    <row r="704" ht="15.75" customHeight="1" s="215"/>
    <row r="705" ht="15.75" customHeight="1" s="215"/>
    <row r="706" ht="15.75" customHeight="1" s="215"/>
    <row r="707" ht="15.75" customHeight="1" s="215"/>
    <row r="708" ht="15.75" customHeight="1" s="215"/>
    <row r="709" ht="15.75" customHeight="1" s="215"/>
    <row r="710" ht="15.75" customHeight="1" s="215"/>
    <row r="711" ht="15.75" customHeight="1" s="215"/>
    <row r="712" ht="15.75" customHeight="1" s="215"/>
    <row r="713" ht="15.75" customHeight="1" s="215"/>
    <row r="714" ht="15.75" customHeight="1" s="215"/>
    <row r="715" ht="15.75" customHeight="1" s="215"/>
    <row r="716" ht="15.75" customHeight="1" s="215"/>
    <row r="717" ht="15.75" customHeight="1" s="215"/>
    <row r="718" ht="15.75" customHeight="1" s="215"/>
    <row r="719" ht="15.75" customHeight="1" s="215"/>
    <row r="720" ht="15.75" customHeight="1" s="215"/>
    <row r="721" ht="15.75" customHeight="1" s="215"/>
    <row r="722" ht="15.75" customHeight="1" s="215"/>
    <row r="723" ht="15.75" customHeight="1" s="215"/>
    <row r="724" ht="15.75" customHeight="1" s="215"/>
    <row r="725" ht="15.75" customHeight="1" s="215"/>
    <row r="726" ht="15.75" customHeight="1" s="215"/>
    <row r="727" ht="15.75" customHeight="1" s="215"/>
    <row r="728" ht="15.75" customHeight="1" s="215"/>
    <row r="729" ht="15.75" customHeight="1" s="215"/>
    <row r="730" ht="15.75" customHeight="1" s="215"/>
    <row r="731" ht="15.75" customHeight="1" s="215"/>
    <row r="732" ht="15.75" customHeight="1" s="215"/>
    <row r="733" ht="15.75" customHeight="1" s="215"/>
    <row r="734" ht="15.75" customHeight="1" s="215"/>
    <row r="735" ht="15.75" customHeight="1" s="215"/>
    <row r="736" ht="15.75" customHeight="1" s="215"/>
    <row r="737" ht="15.75" customHeight="1" s="215"/>
    <row r="738" ht="15.75" customHeight="1" s="215"/>
    <row r="739" ht="15.75" customHeight="1" s="215"/>
    <row r="740" ht="15.75" customHeight="1" s="215"/>
    <row r="741" ht="15.75" customHeight="1" s="215"/>
    <row r="742" ht="15.75" customHeight="1" s="215"/>
    <row r="743" ht="15.75" customHeight="1" s="215"/>
    <row r="744" ht="15.75" customHeight="1" s="215"/>
    <row r="745" ht="15.75" customHeight="1" s="215"/>
    <row r="746" ht="15.75" customHeight="1" s="215"/>
    <row r="747" ht="15.75" customHeight="1" s="215"/>
    <row r="748" ht="15.75" customHeight="1" s="215"/>
    <row r="749" ht="15.75" customHeight="1" s="215"/>
    <row r="750" ht="15.75" customHeight="1" s="215"/>
    <row r="751" ht="15.75" customHeight="1" s="215"/>
    <row r="752" ht="15.75" customHeight="1" s="215"/>
    <row r="753" ht="15.75" customHeight="1" s="215"/>
    <row r="754" ht="15.75" customHeight="1" s="215"/>
    <row r="755" ht="15.75" customHeight="1" s="215"/>
    <row r="756" ht="15.75" customHeight="1" s="215"/>
    <row r="757" ht="15.75" customHeight="1" s="215"/>
    <row r="758" ht="15.75" customHeight="1" s="215"/>
    <row r="759" ht="15.75" customHeight="1" s="215"/>
    <row r="760" ht="15.75" customHeight="1" s="215"/>
    <row r="761" ht="15.75" customHeight="1" s="215"/>
    <row r="762" ht="15.75" customHeight="1" s="215"/>
    <row r="763" ht="15.75" customHeight="1" s="215"/>
    <row r="764" ht="15.75" customHeight="1" s="215"/>
    <row r="765" ht="15.75" customHeight="1" s="215"/>
    <row r="766" ht="15.75" customHeight="1" s="215"/>
    <row r="767" ht="15.75" customHeight="1" s="215"/>
    <row r="768" ht="15.75" customHeight="1" s="215"/>
    <row r="769" ht="15.75" customHeight="1" s="215"/>
    <row r="770" ht="15.75" customHeight="1" s="215"/>
    <row r="771" ht="15.75" customHeight="1" s="215"/>
    <row r="772" ht="15.75" customHeight="1" s="215"/>
    <row r="773" ht="15.75" customHeight="1" s="215"/>
    <row r="774" ht="15.75" customHeight="1" s="215"/>
    <row r="775" ht="15.75" customHeight="1" s="215"/>
    <row r="776" ht="15.75" customHeight="1" s="215"/>
    <row r="777" ht="15.75" customHeight="1" s="215"/>
    <row r="778" ht="15.75" customHeight="1" s="215"/>
    <row r="779" ht="15.75" customHeight="1" s="215"/>
    <row r="780" ht="15.75" customHeight="1" s="215"/>
    <row r="781" ht="15.75" customHeight="1" s="215"/>
    <row r="782" ht="15.75" customHeight="1" s="215"/>
    <row r="783" ht="15.75" customHeight="1" s="215"/>
    <row r="784" ht="15.75" customHeight="1" s="215"/>
    <row r="785" ht="15.75" customHeight="1" s="215"/>
    <row r="786" ht="15.75" customHeight="1" s="215"/>
    <row r="787" ht="15.75" customHeight="1" s="215"/>
    <row r="788" ht="15.75" customHeight="1" s="215"/>
    <row r="789" ht="15.75" customHeight="1" s="215"/>
    <row r="790" ht="15.75" customHeight="1" s="215"/>
    <row r="791" ht="15.75" customHeight="1" s="215"/>
    <row r="792" ht="15.75" customHeight="1" s="215"/>
    <row r="793" ht="15.75" customHeight="1" s="215"/>
    <row r="794" ht="15.75" customHeight="1" s="215"/>
    <row r="795" ht="15.75" customHeight="1" s="215"/>
    <row r="796" ht="15.75" customHeight="1" s="215"/>
    <row r="797" ht="15.75" customHeight="1" s="215"/>
    <row r="798" ht="15.75" customHeight="1" s="215"/>
    <row r="799" ht="15.75" customHeight="1" s="215"/>
    <row r="800" ht="15.75" customHeight="1" s="215"/>
    <row r="801" ht="15.75" customHeight="1" s="215"/>
    <row r="802" ht="15.75" customHeight="1" s="215"/>
    <row r="803" ht="15.75" customHeight="1" s="215"/>
    <row r="804" ht="15.75" customHeight="1" s="215"/>
    <row r="805" ht="15.75" customHeight="1" s="215"/>
    <row r="806" ht="15.75" customHeight="1" s="215"/>
    <row r="807" ht="15.75" customHeight="1" s="215"/>
    <row r="808" ht="15.75" customHeight="1" s="215"/>
    <row r="809" ht="15.75" customHeight="1" s="215"/>
    <row r="810" ht="15.75" customHeight="1" s="215"/>
    <row r="811" ht="15.75" customHeight="1" s="215"/>
    <row r="812" ht="15.75" customHeight="1" s="215"/>
    <row r="813" ht="15.75" customHeight="1" s="215"/>
    <row r="814" ht="15.75" customHeight="1" s="215"/>
    <row r="815" ht="15.75" customHeight="1" s="215"/>
    <row r="816" ht="15.75" customHeight="1" s="215"/>
    <row r="817" ht="15.75" customHeight="1" s="215"/>
    <row r="818" ht="15.75" customHeight="1" s="215"/>
    <row r="819" ht="15.75" customHeight="1" s="215"/>
    <row r="820" ht="15.75" customHeight="1" s="215"/>
    <row r="821" ht="15.75" customHeight="1" s="215"/>
    <row r="822" ht="15.75" customHeight="1" s="215"/>
    <row r="823" ht="15.75" customHeight="1" s="215"/>
    <row r="824" ht="15.75" customHeight="1" s="215"/>
    <row r="825" ht="15.75" customHeight="1" s="215"/>
    <row r="826" ht="15.75" customHeight="1" s="215"/>
    <row r="827" ht="15.75" customHeight="1" s="215"/>
    <row r="828" ht="15.75" customHeight="1" s="215"/>
    <row r="829" ht="15.75" customHeight="1" s="215"/>
    <row r="830" ht="15.75" customHeight="1" s="215"/>
    <row r="831" ht="15.75" customHeight="1" s="215"/>
    <row r="832" ht="15.75" customHeight="1" s="215"/>
    <row r="833" ht="15.75" customHeight="1" s="215"/>
    <row r="834" ht="15.75" customHeight="1" s="215"/>
    <row r="835" ht="15.75" customHeight="1" s="215"/>
    <row r="836" ht="15.75" customHeight="1" s="215"/>
    <row r="837" ht="15.75" customHeight="1" s="215"/>
    <row r="838" ht="15.75" customHeight="1" s="215"/>
    <row r="839" ht="15.75" customHeight="1" s="215"/>
    <row r="840" ht="15.75" customHeight="1" s="215"/>
    <row r="841" ht="15.75" customHeight="1" s="215"/>
    <row r="842" ht="15.75" customHeight="1" s="215"/>
    <row r="843" ht="15.75" customHeight="1" s="215"/>
    <row r="844" ht="15.75" customHeight="1" s="215"/>
    <row r="845" ht="15.75" customHeight="1" s="215"/>
    <row r="846" ht="15.75" customHeight="1" s="215"/>
    <row r="847" ht="15.75" customHeight="1" s="215"/>
    <row r="848" ht="15.75" customHeight="1" s="215"/>
    <row r="849" ht="15.75" customHeight="1" s="215"/>
    <row r="850" ht="15.75" customHeight="1" s="215"/>
    <row r="851" ht="15.75" customHeight="1" s="215"/>
    <row r="852" ht="15.75" customHeight="1" s="215"/>
    <row r="853" ht="15.75" customHeight="1" s="215"/>
    <row r="854" ht="15.75" customHeight="1" s="215"/>
    <row r="855" ht="15.75" customHeight="1" s="215"/>
    <row r="856" ht="15.75" customHeight="1" s="215"/>
    <row r="857" ht="15.75" customHeight="1" s="215"/>
    <row r="858" ht="15.75" customHeight="1" s="215"/>
    <row r="859" ht="15.75" customHeight="1" s="215"/>
    <row r="860" ht="15.75" customHeight="1" s="215"/>
    <row r="861" ht="15.75" customHeight="1" s="215"/>
    <row r="862" ht="15.75" customHeight="1" s="215"/>
    <row r="863" ht="15.75" customHeight="1" s="215"/>
    <row r="864" ht="15.75" customHeight="1" s="215"/>
    <row r="865" ht="15.75" customHeight="1" s="215"/>
    <row r="866" ht="15.75" customHeight="1" s="215"/>
    <row r="867" ht="15.75" customHeight="1" s="215"/>
    <row r="868" ht="15.75" customHeight="1" s="215"/>
    <row r="869" ht="15.75" customHeight="1" s="215"/>
    <row r="870" ht="15.75" customHeight="1" s="215"/>
    <row r="871" ht="15.75" customHeight="1" s="215"/>
    <row r="872" ht="15.75" customHeight="1" s="215"/>
    <row r="873" ht="15.75" customHeight="1" s="215"/>
    <row r="874" ht="15.75" customHeight="1" s="215"/>
    <row r="875" ht="15.75" customHeight="1" s="215"/>
    <row r="876" ht="15.75" customHeight="1" s="215"/>
    <row r="877" ht="15.75" customHeight="1" s="215"/>
    <row r="878" ht="15.75" customHeight="1" s="215"/>
    <row r="879" ht="15.75" customHeight="1" s="215"/>
    <row r="880" ht="15.75" customHeight="1" s="215"/>
    <row r="881" ht="15.75" customHeight="1" s="215"/>
    <row r="882" ht="15.75" customHeight="1" s="215"/>
    <row r="883" ht="15.75" customHeight="1" s="215"/>
    <row r="884" ht="15.75" customHeight="1" s="215"/>
    <row r="885" ht="15.75" customHeight="1" s="215"/>
    <row r="886" ht="15.75" customHeight="1" s="215"/>
    <row r="887" ht="15.75" customHeight="1" s="215"/>
    <row r="888" ht="15.75" customHeight="1" s="215"/>
    <row r="889" ht="15.75" customHeight="1" s="215"/>
    <row r="890" ht="15.75" customHeight="1" s="215"/>
    <row r="891" ht="15.75" customHeight="1" s="215"/>
    <row r="892" ht="15.75" customHeight="1" s="215"/>
    <row r="893" ht="15.75" customHeight="1" s="215"/>
    <row r="894" ht="15.75" customHeight="1" s="215"/>
    <row r="895" ht="15.75" customHeight="1" s="215"/>
    <row r="896" ht="15.75" customHeight="1" s="215"/>
    <row r="897" ht="15.75" customHeight="1" s="215"/>
    <row r="898" ht="15.75" customHeight="1" s="215"/>
    <row r="899" ht="15.75" customHeight="1" s="215"/>
    <row r="900" ht="15.75" customHeight="1" s="215"/>
    <row r="901" ht="15.75" customHeight="1" s="215"/>
    <row r="902" ht="15.75" customHeight="1" s="215"/>
    <row r="903" ht="15.75" customHeight="1" s="215"/>
    <row r="904" ht="15.75" customHeight="1" s="215"/>
    <row r="905" ht="15.75" customHeight="1" s="215"/>
    <row r="906" ht="15.75" customHeight="1" s="215"/>
    <row r="907" ht="15.75" customHeight="1" s="215"/>
    <row r="908" ht="15.75" customHeight="1" s="215"/>
    <row r="909" ht="15.75" customHeight="1" s="215"/>
    <row r="910" ht="15.75" customHeight="1" s="215"/>
    <row r="911" ht="15.75" customHeight="1" s="215"/>
    <row r="912" ht="15.75" customHeight="1" s="215"/>
    <row r="913" ht="15.75" customHeight="1" s="215"/>
    <row r="914" ht="15.75" customHeight="1" s="215"/>
    <row r="915" ht="15.75" customHeight="1" s="215"/>
    <row r="916" ht="15.75" customHeight="1" s="215"/>
    <row r="917" ht="15.75" customHeight="1" s="215"/>
    <row r="918" ht="15.75" customHeight="1" s="215"/>
    <row r="919" ht="15.75" customHeight="1" s="215"/>
    <row r="920" ht="15.75" customHeight="1" s="215"/>
    <row r="921" ht="15.75" customHeight="1" s="215"/>
    <row r="922" ht="15.75" customHeight="1" s="215"/>
    <row r="923" ht="15.75" customHeight="1" s="215"/>
    <row r="924" ht="15.75" customHeight="1" s="215"/>
    <row r="925" ht="15.75" customHeight="1" s="215"/>
    <row r="926" ht="15.75" customHeight="1" s="215"/>
    <row r="927" ht="15.75" customHeight="1" s="215"/>
    <row r="928" ht="15.75" customHeight="1" s="215"/>
    <row r="929" ht="15.75" customHeight="1" s="215"/>
    <row r="930" ht="15.75" customHeight="1" s="215"/>
    <row r="931" ht="15.75" customHeight="1" s="215"/>
    <row r="932" ht="15.75" customHeight="1" s="215"/>
    <row r="933" ht="15.75" customHeight="1" s="215"/>
    <row r="934" ht="15.75" customHeight="1" s="215"/>
    <row r="935" ht="15.75" customHeight="1" s="215"/>
    <row r="936" ht="15.75" customHeight="1" s="215"/>
    <row r="937" ht="15.75" customHeight="1" s="215"/>
    <row r="938" ht="15.75" customHeight="1" s="215"/>
    <row r="939" ht="15.75" customHeight="1" s="215"/>
    <row r="940" ht="15.75" customHeight="1" s="215"/>
    <row r="941" ht="15.75" customHeight="1" s="215"/>
    <row r="942" ht="15.75" customHeight="1" s="215"/>
    <row r="943" ht="15.75" customHeight="1" s="215"/>
    <row r="944" ht="15.75" customHeight="1" s="215"/>
    <row r="945" ht="15.75" customHeight="1" s="215"/>
    <row r="946" ht="15.75" customHeight="1" s="215"/>
    <row r="947" ht="15.75" customHeight="1" s="215"/>
    <row r="948" ht="15.75" customHeight="1" s="215"/>
    <row r="949" ht="15.75" customHeight="1" s="215"/>
    <row r="950" ht="15.75" customHeight="1" s="215"/>
    <row r="951" ht="15.75" customHeight="1" s="215"/>
    <row r="952" ht="15.75" customHeight="1" s="215"/>
    <row r="953" ht="15.75" customHeight="1" s="215"/>
    <row r="954" ht="15.75" customHeight="1" s="215"/>
    <row r="955" ht="15.75" customHeight="1" s="215"/>
    <row r="956" ht="15.75" customHeight="1" s="215"/>
    <row r="957" ht="15.75" customHeight="1" s="215"/>
    <row r="958" ht="15.75" customHeight="1" s="215"/>
    <row r="959" ht="15.75" customHeight="1" s="215"/>
    <row r="960" ht="15.75" customHeight="1" s="215"/>
    <row r="961" ht="15.75" customHeight="1" s="215"/>
    <row r="962" ht="15.75" customHeight="1" s="215"/>
    <row r="963" ht="15.75" customHeight="1" s="215"/>
    <row r="964" ht="15.75" customHeight="1" s="215"/>
    <row r="965" ht="15.75" customHeight="1" s="215"/>
    <row r="966" ht="15.75" customHeight="1" s="215"/>
    <row r="967" ht="15.75" customHeight="1" s="215"/>
    <row r="968" ht="15.75" customHeight="1" s="215"/>
    <row r="969" ht="15.75" customHeight="1" s="215"/>
    <row r="970" ht="15.75" customHeight="1" s="215"/>
    <row r="971" ht="15.75" customHeight="1" s="215"/>
    <row r="972" ht="15.75" customHeight="1" s="215"/>
    <row r="973" ht="15.75" customHeight="1" s="215"/>
    <row r="974" ht="15.75" customHeight="1" s="215"/>
    <row r="975" ht="15.75" customHeight="1" s="215"/>
    <row r="976" ht="15.75" customHeight="1" s="215"/>
    <row r="977" ht="15.75" customHeight="1" s="215"/>
    <row r="978" ht="15.75" customHeight="1" s="215"/>
    <row r="979" ht="15.75" customHeight="1" s="215"/>
    <row r="980" ht="15.75" customHeight="1" s="215"/>
    <row r="981" ht="15.75" customHeight="1" s="215"/>
    <row r="982" ht="15.75" customHeight="1" s="215"/>
    <row r="983" ht="15.75" customHeight="1" s="215"/>
    <row r="984" ht="15.75" customHeight="1" s="215"/>
    <row r="985" ht="15.75" customHeight="1" s="215"/>
    <row r="986" ht="15.75" customHeight="1" s="215"/>
    <row r="987" ht="15.75" customHeight="1" s="215"/>
    <row r="988" ht="15.75" customHeight="1" s="215"/>
    <row r="989" ht="15.75" customHeight="1" s="215"/>
    <row r="990" ht="15.75" customHeight="1" s="215"/>
    <row r="991" ht="15.75" customHeight="1" s="215"/>
    <row r="992" ht="15.75" customHeight="1" s="215"/>
    <row r="993" ht="15.75" customHeight="1" s="215"/>
    <row r="994" ht="15.75" customHeight="1" s="215"/>
    <row r="995" ht="15.75" customHeight="1" s="215"/>
    <row r="996" ht="15.75" customHeight="1" s="215"/>
    <row r="997" ht="15.75" customHeight="1" s="215"/>
    <row r="998" ht="15.75" customHeight="1" s="215"/>
    <row r="999" ht="15.75" customHeight="1" s="215"/>
    <row r="1000" ht="15.75" customHeight="1" s="215"/>
  </sheetData>
  <mergeCells count="5">
    <mergeCell ref="H9:H10"/>
    <mergeCell ref="B7:C7"/>
    <mergeCell ref="B10:C10"/>
    <mergeCell ref="B2:H2"/>
    <mergeCell ref="E9:G9"/>
  </mergeCells>
  <pageMargins left="0.7" right="0.7" top="0.75" bottom="0.75" header="0" footer="0"/>
  <pageSetup orientation="portrait"/>
</worksheet>
</file>

<file path=xl/worksheets/sheet6.xml><?xml version="1.0" encoding="utf-8"?>
<worksheet xmlns="http://schemas.openxmlformats.org/spreadsheetml/2006/main">
  <sheetPr>
    <tabColor rgb="FFA8D08D"/>
    <outlinePr summaryBelow="1" summaryRight="1"/>
    <pageSetUpPr/>
  </sheetPr>
  <dimension ref="A2:K61"/>
  <sheetViews>
    <sheetView workbookViewId="0">
      <selection activeCell="A1" sqref="A1"/>
    </sheetView>
  </sheetViews>
  <sheetFormatPr baseColWidth="8" defaultColWidth="12.63" defaultRowHeight="15" customHeight="1"/>
  <cols>
    <col width="2.5" customWidth="1" style="215" min="1" max="1"/>
    <col width="3.63" customWidth="1" style="215" min="2" max="2"/>
    <col width="101.13" customWidth="1" style="215" min="3" max="3"/>
    <col width="3.75" customWidth="1" style="215" min="4" max="4"/>
    <col width="6.25" customWidth="1" style="215" min="5" max="7"/>
    <col width="75" customWidth="1" style="215" min="8" max="8"/>
    <col width="10" customWidth="1" style="215" min="9" max="9"/>
    <col width="24.25" customWidth="1" style="215" min="10" max="10"/>
    <col width="10" customWidth="1" style="215" min="11" max="26"/>
  </cols>
  <sheetData>
    <row r="2" ht="21.75" customHeight="1" s="215">
      <c r="B2" s="31" t="inlineStr">
        <is>
          <t>LISTADO DE REQUERIMIENTOS DEL SISTEMA IMPLEMENTACION DEL SOFTWARE DE RESERVAS PARA EVENTOS DE RESTAURANTES EN BUCARAMANGA (RESERVIFY)</t>
        </is>
      </c>
    </row>
    <row r="3" ht="15" customHeight="1" s="215">
      <c r="B3" s="32" t="n"/>
      <c r="C3" s="32" t="n"/>
    </row>
    <row r="4" ht="15.75" customHeight="1" s="215">
      <c r="B4" s="33" t="inlineStr">
        <is>
          <t>SI</t>
        </is>
      </c>
      <c r="C4" s="34" t="inlineStr">
        <is>
          <t>Marque con una equis (X) si el sistema cumple con la función descrita</t>
        </is>
      </c>
    </row>
    <row r="5" ht="15.75" customHeight="1" s="215">
      <c r="B5" s="33" t="inlineStr">
        <is>
          <t>NO</t>
        </is>
      </c>
      <c r="C5" s="34" t="inlineStr">
        <is>
          <t>Marque con una equis (X) si el sistema no cumple con la función descrita</t>
        </is>
      </c>
    </row>
    <row r="6" ht="15.75" customHeight="1" s="215">
      <c r="B6" s="33" t="inlineStr">
        <is>
          <t>ADI</t>
        </is>
      </c>
      <c r="C6" s="34" t="inlineStr">
        <is>
          <t>Marque con una equis (X) si el sistema debe adicionar la función descrita</t>
        </is>
      </c>
    </row>
    <row r="7" ht="15.75" customHeight="1" s="215">
      <c r="B7" s="35" t="inlineStr">
        <is>
          <t>Observaciones:Espacio para complementar respuestas</t>
        </is>
      </c>
    </row>
    <row r="8" ht="15.75" customHeight="1" s="215">
      <c r="B8" s="35" t="n"/>
      <c r="C8" s="35" t="n"/>
    </row>
    <row r="9" ht="15" customHeight="1" s="215">
      <c r="E9" s="44" t="inlineStr">
        <is>
          <t>Nivel de cumplimiento</t>
        </is>
      </c>
      <c r="F9" s="224" t="n"/>
      <c r="G9" s="225" t="n"/>
      <c r="H9" s="44" t="inlineStr">
        <is>
          <t>OBSERVACIONES</t>
        </is>
      </c>
    </row>
    <row r="10" ht="20.25" customHeight="1" s="215">
      <c r="B10" s="41" t="inlineStr">
        <is>
          <t>REQUISITOS FUNCIONALES FINANCIERA</t>
        </is>
      </c>
      <c r="C10" s="226" t="n"/>
      <c r="D10" s="43" t="n"/>
      <c r="E10" s="44" t="inlineStr">
        <is>
          <t>SI</t>
        </is>
      </c>
      <c r="F10" s="45" t="inlineStr">
        <is>
          <t>ADI</t>
        </is>
      </c>
      <c r="G10" s="45" t="inlineStr">
        <is>
          <t>NO</t>
        </is>
      </c>
      <c r="H10" s="227" t="n"/>
      <c r="I10" s="47" t="n"/>
    </row>
    <row r="11" ht="11.25" customHeight="1" s="215">
      <c r="B11" s="48" t="n"/>
      <c r="C11" s="49" t="n"/>
      <c r="H11" s="50" t="n"/>
    </row>
    <row r="12" s="215">
      <c r="A12" s="51" t="n"/>
      <c r="B12" s="52" t="n">
        <v>1</v>
      </c>
      <c r="C12" s="234" t="inlineStr">
        <is>
          <t>FI-001 – Facturación básica por reserva</t>
        </is>
      </c>
      <c r="D12" s="229" t="n"/>
      <c r="E12" s="60" t="inlineStr">
        <is>
          <t>x</t>
        </is>
      </c>
      <c r="F12" s="60" t="n"/>
      <c r="G12" s="60" t="n"/>
      <c r="H12" s="61" t="n"/>
      <c r="J12" s="57" t="inlineStr">
        <is>
          <t>requerimientos total</t>
        </is>
      </c>
      <c r="K12" s="58">
        <f>COUNTA(B12:B61)</f>
        <v/>
      </c>
    </row>
    <row r="13" s="215">
      <c r="A13" s="51" t="n"/>
      <c r="B13" s="52" t="n">
        <v>2</v>
      </c>
      <c r="C13" s="234" t="inlineStr">
        <is>
          <t>FI-002 – Asociación entre reservas, pagos y facturas</t>
        </is>
      </c>
      <c r="D13" s="229" t="n"/>
      <c r="E13" s="60" t="inlineStr">
        <is>
          <t>x</t>
        </is>
      </c>
      <c r="F13" s="60" t="n"/>
      <c r="G13" s="60" t="n"/>
      <c r="H13" s="61" t="n"/>
      <c r="J13" s="57" t="inlineStr">
        <is>
          <t>requerimientos completados</t>
        </is>
      </c>
      <c r="K13" s="58">
        <f>COUNTA(E12:E61)</f>
        <v/>
      </c>
    </row>
    <row r="14" s="215">
      <c r="A14" s="51" t="n"/>
      <c r="B14" s="52" t="n">
        <v>3</v>
      </c>
      <c r="C14" s="234" t="inlineStr">
        <is>
          <t>FI-003 – Integración con pasarela de pagos Wompi</t>
        </is>
      </c>
      <c r="D14" s="229" t="n"/>
      <c r="E14" s="60" t="inlineStr">
        <is>
          <t>x</t>
        </is>
      </c>
      <c r="F14" s="60" t="n"/>
      <c r="G14" s="60" t="n"/>
      <c r="H14" s="61" t="n"/>
      <c r="J14" s="57" t="inlineStr">
        <is>
          <t>requerimientos sin completar</t>
        </is>
      </c>
      <c r="K14" s="58">
        <f>K12 - K13</f>
        <v/>
      </c>
    </row>
    <row r="15" s="215">
      <c r="A15" s="51" t="n"/>
      <c r="B15" s="52" t="n">
        <v>4</v>
      </c>
      <c r="C15" s="234" t="inlineStr">
        <is>
          <t>FI-004 – Seguimiento de ingresos y métricas mensuales</t>
        </is>
      </c>
      <c r="D15" s="229" t="n"/>
      <c r="E15" s="60" t="inlineStr">
        <is>
          <t>x</t>
        </is>
      </c>
      <c r="F15" s="60" t="n"/>
      <c r="G15" s="60" t="n"/>
      <c r="H15" s="61" t="n"/>
      <c r="J15" s="57" t="inlineStr">
        <is>
          <t>porcentaje</t>
        </is>
      </c>
      <c r="K15" s="58">
        <f>TEXT((K13/K12)*100,"0,00") &amp; "%"</f>
        <v/>
      </c>
    </row>
    <row r="16" s="215">
      <c r="A16" s="51" t="n"/>
      <c r="B16" s="52" t="n">
        <v>5</v>
      </c>
      <c r="C16" s="234" t="inlineStr">
        <is>
          <t>FI-005 – Consultas y reportes de facturación</t>
        </is>
      </c>
      <c r="D16" s="229" t="n"/>
      <c r="E16" s="60" t="inlineStr">
        <is>
          <t>x</t>
        </is>
      </c>
      <c r="F16" s="60" t="n"/>
      <c r="G16" s="60" t="n"/>
      <c r="H16" s="61" t="n"/>
      <c r="J16" s="57" t="n"/>
      <c r="K16" s="58" t="n"/>
    </row>
    <row r="17" s="215">
      <c r="A17" s="51" t="n"/>
      <c r="B17" s="52" t="n">
        <v>6</v>
      </c>
      <c r="C17" s="234" t="inlineStr">
        <is>
          <t>FI-006 – Auditoría de operaciones financieras</t>
        </is>
      </c>
      <c r="D17" s="229" t="n"/>
      <c r="E17" s="60" t="inlineStr">
        <is>
          <t>x</t>
        </is>
      </c>
      <c r="F17" s="60" t="n"/>
      <c r="G17" s="60" t="n"/>
      <c r="H17" s="61" t="n"/>
      <c r="J17" s="57" t="n"/>
      <c r="K17" s="58" t="n"/>
    </row>
    <row r="18" s="215">
      <c r="A18" s="51" t="n"/>
      <c r="B18" s="52" t="n">
        <v>7</v>
      </c>
      <c r="C18" s="234" t="inlineStr">
        <is>
          <t>FI-007 – Control de formas de pago y estados de pago</t>
        </is>
      </c>
      <c r="D18" s="229" t="n"/>
      <c r="E18" s="60" t="inlineStr">
        <is>
          <t>x</t>
        </is>
      </c>
      <c r="F18" s="60" t="n"/>
      <c r="G18" s="60" t="n"/>
      <c r="H18" s="61" t="n"/>
      <c r="J18" s="57" t="n"/>
      <c r="K18" s="58" t="n"/>
    </row>
    <row r="19" s="215">
      <c r="A19" s="51" t="n"/>
      <c r="B19" s="52" t="n">
        <v>8</v>
      </c>
      <c r="C19" s="234" t="inlineStr">
        <is>
          <t>FI-008 – Envío de facturas por correo</t>
        </is>
      </c>
      <c r="D19" s="229" t="n"/>
      <c r="E19" s="60" t="inlineStr">
        <is>
          <t>x</t>
        </is>
      </c>
      <c r="F19" s="60" t="n"/>
      <c r="G19" s="60" t="n"/>
      <c r="H19" s="61" t="n"/>
      <c r="J19" s="57" t="n"/>
      <c r="K19" s="58" t="n"/>
    </row>
    <row r="20" s="215">
      <c r="A20" s="51" t="n"/>
      <c r="B20" s="52" t="n">
        <v>9</v>
      </c>
      <c r="C20" s="234" t="inlineStr">
        <is>
          <t>FI-009 – Creación conjunta de factura y reserva desde el flujo de reserva</t>
        </is>
      </c>
      <c r="D20" s="229" t="n"/>
      <c r="E20" s="60" t="inlineStr">
        <is>
          <t>x</t>
        </is>
      </c>
      <c r="F20" s="60" t="n"/>
      <c r="G20" s="60" t="n"/>
      <c r="H20" s="61" t="n"/>
      <c r="J20" s="57" t="n"/>
      <c r="K20" s="58" t="n"/>
    </row>
    <row r="21" ht="15.75" customHeight="1" s="215">
      <c r="A21" s="51" t="n"/>
      <c r="B21" s="52" t="n">
        <v>10</v>
      </c>
      <c r="C21" s="234" t="inlineStr">
        <is>
          <t>FI-010 – Confirmación financiera de la reserva condicionada a pago aprobado</t>
        </is>
      </c>
      <c r="D21" s="229" t="n"/>
      <c r="E21" s="60" t="inlineStr">
        <is>
          <t>x</t>
        </is>
      </c>
      <c r="F21" s="60" t="n"/>
      <c r="G21" s="60" t="n"/>
      <c r="H21" s="61" t="n"/>
      <c r="J21" s="57" t="n"/>
      <c r="K21" s="58" t="n"/>
    </row>
    <row r="22" ht="15.75" customHeight="1" s="215">
      <c r="A22" s="51" t="n"/>
      <c r="B22" s="52" t="n">
        <v>11</v>
      </c>
      <c r="C22" s="234" t="inlineStr">
        <is>
          <t>FI-011 – Persistencia de datos de pasarela de pago para conciliación</t>
        </is>
      </c>
      <c r="D22" s="229" t="n"/>
      <c r="E22" s="60" t="n"/>
      <c r="F22" s="60" t="inlineStr">
        <is>
          <t>x</t>
        </is>
      </c>
      <c r="G22" s="60" t="n"/>
      <c r="H22" s="61" t="inlineStr">
        <is>
          <t>Parcial.</t>
        </is>
      </c>
      <c r="J22" s="57" t="n"/>
      <c r="K22" s="58" t="n"/>
    </row>
    <row r="23" ht="15.75" customHeight="1" s="215">
      <c r="A23" s="51" t="n"/>
      <c r="B23" s="52" t="n">
        <v>12</v>
      </c>
      <c r="C23" s="234" t="inlineStr">
        <is>
          <t>FI-012 – Exportación de facturación a CSV y detalle descargable en PDF</t>
        </is>
      </c>
      <c r="D23" s="229" t="n"/>
      <c r="E23" s="60" t="inlineStr">
        <is>
          <t>x</t>
        </is>
      </c>
      <c r="F23" s="60" t="n"/>
      <c r="G23" s="60" t="n"/>
      <c r="H23" s="61" t="n"/>
      <c r="J23" s="57" t="n"/>
      <c r="K23" s="58" t="n"/>
    </row>
    <row r="24" ht="15.75" customHeight="1" s="215">
      <c r="A24" s="51" t="n"/>
      <c r="B24" s="52" t="n">
        <v>13</v>
      </c>
      <c r="C24" s="234" t="inlineStr">
        <is>
          <t>FI-001A – Registro obligatorio de forma de pago en cada factura</t>
        </is>
      </c>
      <c r="D24" s="229" t="n"/>
      <c r="E24" s="60" t="inlineStr">
        <is>
          <t>x</t>
        </is>
      </c>
      <c r="F24" s="60" t="n"/>
      <c r="G24" s="60" t="n"/>
      <c r="H24" s="61" t="n"/>
      <c r="J24" s="57" t="n"/>
      <c r="K24" s="58" t="n"/>
    </row>
    <row r="25" ht="15.75" customHeight="1" s="215">
      <c r="A25" s="51" t="n"/>
      <c r="B25" s="52" t="n">
        <v>14</v>
      </c>
      <c r="C25" s="234" t="inlineStr">
        <is>
          <t>FI-001B – Registro del valor total de la factura con dos decimales</t>
        </is>
      </c>
      <c r="D25" s="229" t="n"/>
      <c r="E25" s="60" t="inlineStr">
        <is>
          <t>x</t>
        </is>
      </c>
      <c r="F25" s="60" t="n"/>
      <c r="G25" s="60" t="n"/>
      <c r="H25" s="61" t="n"/>
      <c r="J25" s="57" t="n"/>
      <c r="K25" s="58" t="n"/>
    </row>
    <row r="26" ht="15.75" customHeight="1" s="215">
      <c r="A26" s="51" t="n"/>
      <c r="B26" s="52" t="n">
        <v>15</v>
      </c>
      <c r="C26" s="234" t="inlineStr">
        <is>
          <t>FI-004A – Consolidación de ingresos por restaurante, mes y año</t>
        </is>
      </c>
      <c r="D26" s="229" t="n"/>
      <c r="E26" s="60" t="inlineStr">
        <is>
          <t>x</t>
        </is>
      </c>
      <c r="F26" s="60" t="n"/>
      <c r="G26" s="60" t="n"/>
      <c r="H26" s="61" t="n"/>
      <c r="J26" s="57" t="n"/>
      <c r="K26" s="58" t="n"/>
    </row>
    <row r="27" ht="15.75" customHeight="1" s="215">
      <c r="A27" s="51" t="n"/>
      <c r="B27" s="52" t="n">
        <v>16</v>
      </c>
      <c r="C27" s="234" t="inlineStr">
        <is>
          <t>FI-005A – Exportación de informes de facturación a CSV desde los dashboards</t>
        </is>
      </c>
      <c r="D27" s="229" t="n"/>
      <c r="E27" s="60" t="inlineStr">
        <is>
          <t>x</t>
        </is>
      </c>
      <c r="F27" s="60" t="n"/>
      <c r="G27" s="60" t="n"/>
      <c r="H27" s="61" t="n"/>
      <c r="J27" s="57" t="n"/>
      <c r="K27" s="58" t="n"/>
    </row>
    <row r="28" ht="15.75" customHeight="1" s="215">
      <c r="A28" s="51" t="n"/>
      <c r="B28" s="52" t="n">
        <v>17</v>
      </c>
      <c r="C28" s="234" t="inlineStr">
        <is>
          <t>FI-005B – Descarga de facturas individuales en formato PDF</t>
        </is>
      </c>
      <c r="D28" s="229" t="n"/>
      <c r="E28" s="60" t="inlineStr">
        <is>
          <t>x</t>
        </is>
      </c>
      <c r="F28" s="60" t="n"/>
      <c r="G28" s="60" t="n"/>
      <c r="H28" s="61" t="n"/>
      <c r="J28" s="57" t="n"/>
      <c r="K28" s="58" t="n"/>
    </row>
    <row r="29" ht="15.75" customHeight="1" s="215">
      <c r="A29" s="51" t="n"/>
      <c r="B29" s="52" t="n">
        <v>18</v>
      </c>
      <c r="C29" s="234" t="inlineStr">
        <is>
          <t>FI-013 – Campo Encabezado_Factura.nit</t>
        </is>
      </c>
      <c r="D29" s="229" t="n"/>
      <c r="E29" s="60" t="inlineStr">
        <is>
          <t>x</t>
        </is>
      </c>
      <c r="F29" s="60" t="n"/>
      <c r="G29" s="60" t="n"/>
      <c r="H29" s="61" t="n"/>
      <c r="J29" s="57" t="n"/>
      <c r="K29" s="58" t="n"/>
    </row>
    <row r="30" ht="15.75" customHeight="1" s="215">
      <c r="A30" s="51" t="n"/>
      <c r="B30" s="52" t="n">
        <v>19</v>
      </c>
      <c r="C30" s="234" t="inlineStr">
        <is>
          <t>FI-014 – Campo Encabezado_Factura.nombre_restaurante</t>
        </is>
      </c>
      <c r="D30" s="229" t="n"/>
      <c r="E30" s="60" t="inlineStr">
        <is>
          <t>x</t>
        </is>
      </c>
      <c r="F30" s="60" t="n"/>
      <c r="G30" s="60" t="n"/>
      <c r="H30" s="61" t="n"/>
      <c r="J30" s="57" t="n"/>
      <c r="K30" s="58" t="n"/>
    </row>
    <row r="31" ht="15.75" customHeight="1" s="215">
      <c r="A31" s="51" t="n"/>
      <c r="B31" s="52" t="n">
        <v>20</v>
      </c>
      <c r="C31" s="234" t="inlineStr">
        <is>
          <t>FI-015 – Campo Encabezado_Factura.direccion</t>
        </is>
      </c>
      <c r="D31" s="229" t="n"/>
      <c r="E31" s="60" t="inlineStr">
        <is>
          <t>x</t>
        </is>
      </c>
      <c r="F31" s="60" t="n"/>
      <c r="G31" s="60" t="n"/>
      <c r="H31" s="61" t="n"/>
      <c r="J31" s="57" t="n"/>
      <c r="K31" s="58" t="n"/>
    </row>
    <row r="32" ht="15.75" customHeight="1" s="215">
      <c r="A32" s="51" t="n"/>
      <c r="B32" s="52" t="n">
        <v>21</v>
      </c>
      <c r="C32" s="234" t="inlineStr">
        <is>
          <t>FI-016 – Campo Encabezado_Factura.ciudad</t>
        </is>
      </c>
      <c r="D32" s="229" t="n"/>
      <c r="E32" s="60" t="inlineStr">
        <is>
          <t>x</t>
        </is>
      </c>
      <c r="F32" s="60" t="n"/>
      <c r="G32" s="60" t="n"/>
      <c r="H32" s="61" t="n"/>
      <c r="J32" s="57" t="n"/>
      <c r="K32" s="58" t="n"/>
    </row>
    <row r="33" ht="15.75" customHeight="1" s="215">
      <c r="A33" s="51" t="n"/>
      <c r="B33" s="52" t="n">
        <v>22</v>
      </c>
      <c r="C33" s="234" t="inlineStr">
        <is>
          <t>FI-017 – Campo Encabezado_Factura.documento (cliente)</t>
        </is>
      </c>
      <c r="D33" s="229" t="n"/>
      <c r="E33" s="60" t="inlineStr">
        <is>
          <t>x</t>
        </is>
      </c>
      <c r="F33" s="60" t="n"/>
      <c r="G33" s="60" t="n"/>
      <c r="H33" s="61" t="n"/>
      <c r="J33" s="57" t="n"/>
      <c r="K33" s="58" t="n"/>
    </row>
    <row r="34" ht="15.75" customHeight="1" s="215">
      <c r="A34" s="51" t="n"/>
      <c r="B34" s="52" t="n">
        <v>23</v>
      </c>
      <c r="C34" s="234" t="inlineStr">
        <is>
          <t>FI-018 – Campo Encabezado_Factura.fecha con CHECK</t>
        </is>
      </c>
      <c r="D34" s="229" t="n"/>
      <c r="E34" s="60" t="inlineStr">
        <is>
          <t>x</t>
        </is>
      </c>
      <c r="F34" s="60" t="n"/>
      <c r="G34" s="60" t="n"/>
      <c r="H34" s="61" t="n"/>
      <c r="J34" s="57" t="n"/>
      <c r="K34" s="58" t="n"/>
    </row>
    <row r="35" ht="15.75" customHeight="1" s="215">
      <c r="A35" s="51" t="n"/>
      <c r="B35" s="52" t="n">
        <v>24</v>
      </c>
      <c r="C35" s="234" t="inlineStr">
        <is>
          <t>FI-019 – Forma de pago Efectivo</t>
        </is>
      </c>
      <c r="D35" s="229" t="n"/>
      <c r="E35" s="60" t="inlineStr">
        <is>
          <t>x</t>
        </is>
      </c>
      <c r="F35" s="60" t="n"/>
      <c r="G35" s="60" t="n"/>
      <c r="H35" s="61" t="n"/>
      <c r="J35" s="57" t="n"/>
      <c r="K35" s="58" t="n"/>
    </row>
    <row r="36" ht="15.75" customHeight="1" s="215">
      <c r="A36" s="51" t="n"/>
      <c r="B36" s="52" t="n">
        <v>25</v>
      </c>
      <c r="C36" s="234" t="inlineStr">
        <is>
          <t>FI-020 – Forma de pago Tarjeta</t>
        </is>
      </c>
      <c r="D36" s="229" t="n"/>
      <c r="E36" s="60" t="inlineStr">
        <is>
          <t>x</t>
        </is>
      </c>
      <c r="F36" s="60" t="n"/>
      <c r="G36" s="60" t="n"/>
      <c r="H36" s="61" t="n"/>
      <c r="J36" s="57" t="n"/>
      <c r="K36" s="58" t="n"/>
    </row>
    <row r="37" ht="15.75" customHeight="1" s="215">
      <c r="A37" s="51" t="n"/>
      <c r="B37" s="52" t="n">
        <v>26</v>
      </c>
      <c r="C37" s="234" t="inlineStr">
        <is>
          <t>FI-021 – Forma de pago Transferencia</t>
        </is>
      </c>
      <c r="D37" s="229" t="n"/>
      <c r="E37" s="60" t="inlineStr">
        <is>
          <t>x</t>
        </is>
      </c>
      <c r="F37" s="60" t="n"/>
      <c r="G37" s="60" t="n"/>
      <c r="H37" s="61" t="n"/>
      <c r="J37" s="57" t="n"/>
      <c r="K37" s="58" t="n"/>
    </row>
    <row r="38" ht="15.75" customHeight="1" s="215">
      <c r="A38" s="51" t="n"/>
      <c r="B38" s="52" t="n">
        <v>27</v>
      </c>
      <c r="C38" s="234" t="inlineStr">
        <is>
          <t>FI-022 – Forma de pago Otro</t>
        </is>
      </c>
      <c r="D38" s="229" t="n"/>
      <c r="E38" s="60" t="inlineStr">
        <is>
          <t>x</t>
        </is>
      </c>
      <c r="F38" s="60" t="n"/>
      <c r="G38" s="60" t="n"/>
      <c r="H38" s="61" t="n"/>
      <c r="J38" s="57" t="n"/>
      <c r="K38" s="58" t="n"/>
    </row>
    <row r="39" ht="15.75" customHeight="1" s="215">
      <c r="A39" s="51" t="n"/>
      <c r="B39" s="52" t="n">
        <v>28</v>
      </c>
      <c r="C39" s="234" t="inlineStr">
        <is>
          <t>FI-023 – Forma de pago Pendiente</t>
        </is>
      </c>
      <c r="D39" s="229" t="n"/>
      <c r="E39" s="60" t="inlineStr">
        <is>
          <t>x</t>
        </is>
      </c>
      <c r="F39" s="60" t="n"/>
      <c r="G39" s="60" t="n"/>
      <c r="H39" s="61" t="n"/>
      <c r="J39" s="57" t="n"/>
      <c r="K39" s="58" t="n"/>
    </row>
    <row r="40" ht="15.75" customHeight="1" s="215">
      <c r="A40" s="51" t="n"/>
      <c r="B40" s="52" t="n">
        <v>29</v>
      </c>
      <c r="C40" s="234" t="inlineStr">
        <is>
          <t>FI-024 – Endpoint POST /facturas/reservar para crear factura y reserva</t>
        </is>
      </c>
      <c r="D40" s="229" t="n"/>
      <c r="E40" s="60" t="inlineStr">
        <is>
          <t>x</t>
        </is>
      </c>
      <c r="F40" s="60" t="n"/>
      <c r="G40" s="60" t="n"/>
      <c r="H40" s="61" t="n"/>
      <c r="J40" s="57" t="n"/>
      <c r="K40" s="58" t="n"/>
    </row>
    <row r="41" ht="15.75" customHeight="1" s="215">
      <c r="A41" s="51" t="n"/>
      <c r="B41" s="52" t="n">
        <v>30</v>
      </c>
      <c r="C41" s="234" t="inlineStr">
        <is>
          <t>FI-025 – Endpoint GET /data-owner/facturas para listar facturas</t>
        </is>
      </c>
      <c r="D41" s="229" t="n"/>
      <c r="E41" s="60" t="inlineStr">
        <is>
          <t>x</t>
        </is>
      </c>
      <c r="F41" s="60" t="n"/>
      <c r="G41" s="60" t="n"/>
      <c r="H41" s="61" t="n"/>
      <c r="J41" s="57" t="n"/>
      <c r="K41" s="58" t="n"/>
    </row>
    <row r="42" ht="15.75" customHeight="1" s="215">
      <c r="A42" s="51" t="n"/>
      <c r="B42" s="52" t="n">
        <v>31</v>
      </c>
      <c r="C42" s="234" t="inlineStr">
        <is>
          <t>FI-026 – Endpoint GET /data-owner/facturas/{id_encab_fact} para detalle de factura</t>
        </is>
      </c>
      <c r="D42" s="229" t="n"/>
      <c r="E42" s="60" t="inlineStr">
        <is>
          <t>x</t>
        </is>
      </c>
      <c r="F42" s="60" t="n"/>
      <c r="G42" s="60" t="n"/>
      <c r="H42" s="61" t="n"/>
      <c r="J42" s="57" t="n"/>
      <c r="K42" s="58" t="n"/>
    </row>
    <row r="43" ht="15.75" customHeight="1" s="215">
      <c r="A43" s="51" t="n"/>
      <c r="B43" s="52" t="n">
        <v>32</v>
      </c>
      <c r="C43" s="234" t="inlineStr">
        <is>
          <t>FI-027 – Endpoint POST /data-owner/facturas/{id_encab_fact}/enviar para enviar factura por correo</t>
        </is>
      </c>
      <c r="D43" s="229" t="n"/>
      <c r="E43" s="60" t="inlineStr">
        <is>
          <t>x</t>
        </is>
      </c>
      <c r="F43" s="60" t="n"/>
      <c r="G43" s="60" t="n"/>
      <c r="H43" s="61" t="n"/>
      <c r="J43" s="57" t="n"/>
      <c r="K43" s="58" t="n"/>
    </row>
    <row r="44" ht="15.75" customHeight="1" s="215">
      <c r="A44" s="51" t="n"/>
      <c r="B44" s="52" t="n">
        <v>33</v>
      </c>
      <c r="C44" s="234" t="inlineStr">
        <is>
          <t>FI-028 – Flujo: crear factura → asociar reserva (id_encab_fact en Reserva)</t>
        </is>
      </c>
      <c r="D44" s="229" t="n"/>
      <c r="E44" s="60" t="inlineStr">
        <is>
          <t>x</t>
        </is>
      </c>
      <c r="F44" s="60" t="n"/>
      <c r="G44" s="60" t="n"/>
      <c r="H44" s="61" t="n"/>
      <c r="J44" s="57" t="n"/>
      <c r="K44" s="58" t="n"/>
    </row>
    <row r="45" ht="15.75" customHeight="1" s="215">
      <c r="A45" s="51" t="n"/>
      <c r="B45" s="52" t="n">
        <v>34</v>
      </c>
      <c r="C45" s="234" t="inlineStr">
        <is>
          <t>FI-029 – Flujo: confirmar reserva cuando pago Wompi aprobado</t>
        </is>
      </c>
      <c r="D45" s="229" t="n"/>
      <c r="E45" s="60" t="inlineStr">
        <is>
          <t>x</t>
        </is>
      </c>
      <c r="F45" s="60" t="n"/>
      <c r="G45" s="60" t="n"/>
      <c r="H45" s="61" t="n"/>
      <c r="J45" s="57" t="n"/>
      <c r="K45" s="58" t="n"/>
    </row>
    <row r="46" ht="15.75" customHeight="1" s="215">
      <c r="A46" s="51" t="n"/>
      <c r="B46" s="52" t="n">
        <v>35</v>
      </c>
      <c r="C46" s="234" t="inlineStr">
        <is>
          <t>FI-030 – Exportar listado de facturas a CSV desde dashboard</t>
        </is>
      </c>
      <c r="D46" s="229" t="n"/>
      <c r="E46" s="60" t="inlineStr">
        <is>
          <t>x</t>
        </is>
      </c>
      <c r="F46" s="60" t="n"/>
      <c r="G46" s="60" t="n"/>
      <c r="H46" s="61" t="n"/>
      <c r="J46" s="57" t="n"/>
      <c r="K46" s="58" t="n"/>
    </row>
    <row r="47" ht="15.75" customHeight="1" s="215">
      <c r="A47" s="51" t="n"/>
      <c r="B47" s="52" t="n">
        <v>36</v>
      </c>
      <c r="C47" s="234" t="inlineStr">
        <is>
          <t>FI-031 – Descargar detalle de factura en PDF desde dashboard</t>
        </is>
      </c>
      <c r="D47" s="229" t="n"/>
      <c r="E47" s="60" t="inlineStr">
        <is>
          <t>x</t>
        </is>
      </c>
      <c r="F47" s="60" t="n"/>
      <c r="G47" s="60" t="n"/>
      <c r="H47" s="61" t="n"/>
      <c r="J47" s="57" t="n"/>
      <c r="K47" s="58" t="n"/>
    </row>
    <row r="48" ht="15.75" customHeight="1" s="215">
      <c r="A48" s="51" t="n"/>
      <c r="B48" s="52" t="n">
        <v>37</v>
      </c>
      <c r="C48" s="234" t="inlineStr">
        <is>
          <t>FI-032 – Tabla Detalle_factura (o líneas de detalle) para ítems facturados</t>
        </is>
      </c>
      <c r="D48" s="229" t="n"/>
      <c r="E48" s="60" t="inlineStr">
        <is>
          <t>x</t>
        </is>
      </c>
      <c r="F48" s="60" t="n"/>
      <c r="G48" s="60" t="n"/>
      <c r="H48" s="61" t="n"/>
      <c r="J48" s="57" t="n"/>
      <c r="K48" s="58" t="n"/>
    </row>
    <row r="49" ht="15.75" customHeight="1" s="215">
      <c r="A49" s="51" t="n"/>
      <c r="B49" s="52" t="n">
        <v>38</v>
      </c>
      <c r="C49" s="234" t="inlineStr">
        <is>
          <t>FI-033 – Columna precio_total DECIMAL(10,2) en Encabezado_Factura</t>
        </is>
      </c>
      <c r="D49" s="229" t="n"/>
      <c r="E49" s="60" t="inlineStr">
        <is>
          <t>x</t>
        </is>
      </c>
      <c r="F49" s="60" t="n"/>
      <c r="G49" s="60" t="n"/>
      <c r="H49" s="61" t="n"/>
      <c r="J49" s="57" t="n"/>
      <c r="K49" s="58" t="n"/>
    </row>
    <row r="50" ht="15.75" customHeight="1" s="215">
      <c r="A50" s="51" t="n"/>
      <c r="B50" s="52" t="n">
        <v>39</v>
      </c>
      <c r="C50" s="234" t="inlineStr">
        <is>
          <t>FI-034 – Auditoría de Encabezado_Factura (triggers insert/update/delete)</t>
        </is>
      </c>
      <c r="D50" s="229" t="n"/>
      <c r="E50" s="60" t="inlineStr">
        <is>
          <t>x</t>
        </is>
      </c>
      <c r="F50" s="60" t="n"/>
      <c r="G50" s="60" t="n"/>
      <c r="H50" s="61" t="n"/>
      <c r="J50" s="57" t="n"/>
      <c r="K50" s="58" t="n"/>
    </row>
    <row r="51" ht="15.75" customHeight="1" s="215">
      <c r="A51" s="51" t="n"/>
      <c r="B51" s="52" t="n">
        <v>40</v>
      </c>
      <c r="C51" s="234" t="inlineStr">
        <is>
          <t>FI-035 – Tabla Calculos_mensuales con revenue y total_reservas por restaurante/mes/año</t>
        </is>
      </c>
      <c r="D51" s="229" t="n"/>
      <c r="E51" s="60" t="inlineStr">
        <is>
          <t>x</t>
        </is>
      </c>
      <c r="F51" s="60" t="n"/>
      <c r="G51" s="60" t="n"/>
      <c r="H51" s="61" t="n"/>
      <c r="J51" s="57" t="n"/>
      <c r="K51" s="58" t="n"/>
    </row>
    <row r="52" ht="15.75" customHeight="1" s="215">
      <c r="A52" s="51" t="n"/>
      <c r="B52" s="52" t="n">
        <v>41</v>
      </c>
      <c r="C52" s="234" t="inlineStr">
        <is>
          <t>FI-036 – Endpoint GET /data-owner/metricas-mensuales para métricas financieras</t>
        </is>
      </c>
      <c r="D52" s="229" t="n"/>
      <c r="E52" s="60" t="inlineStr">
        <is>
          <t>x</t>
        </is>
      </c>
      <c r="F52" s="60" t="n"/>
      <c r="G52" s="60" t="n"/>
      <c r="H52" s="61" t="n"/>
      <c r="J52" s="57" t="n"/>
      <c r="K52" s="58" t="n"/>
    </row>
    <row r="53" ht="15.75" customHeight="1" s="215">
      <c r="A53" s="51" t="n"/>
      <c r="B53" s="52" t="n">
        <v>42</v>
      </c>
      <c r="C53" s="234" t="inlineStr">
        <is>
          <t>FI-037 – Endpoint POST /wompi/crear_pago para iniciar transacción</t>
        </is>
      </c>
      <c r="D53" s="229" t="n"/>
      <c r="E53" s="60" t="inlineStr">
        <is>
          <t>x</t>
        </is>
      </c>
      <c r="F53" s="60" t="n"/>
      <c r="G53" s="60" t="n"/>
      <c r="H53" s="61" t="n"/>
      <c r="J53" s="57" t="n"/>
      <c r="K53" s="58" t="n"/>
    </row>
    <row r="54" ht="15.75" customHeight="1" s="215">
      <c r="A54" s="51" t="n"/>
      <c r="B54" s="52" t="n">
        <v>43</v>
      </c>
      <c r="C54" s="234" t="inlineStr">
        <is>
          <t>FI-038 – Endpoint POST /wompi/webhook para notificación de pago aprobado</t>
        </is>
      </c>
      <c r="D54" s="229" t="n"/>
      <c r="E54" s="60" t="inlineStr">
        <is>
          <t>x</t>
        </is>
      </c>
      <c r="F54" s="60" t="n"/>
      <c r="G54" s="60" t="n"/>
      <c r="H54" s="61" t="n"/>
      <c r="J54" s="57" t="n"/>
      <c r="K54" s="58" t="n"/>
    </row>
    <row r="55" ht="15.75" customHeight="1" s="215">
      <c r="A55" s="51" t="n"/>
      <c r="B55" s="52" t="n">
        <v>44</v>
      </c>
      <c r="C55" s="234" t="inlineStr">
        <is>
          <t>FI-039 – Endpoint GET /wompi/transaccion/{transaction_id} para consultar estado</t>
        </is>
      </c>
      <c r="D55" s="229" t="n"/>
      <c r="E55" s="60" t="inlineStr">
        <is>
          <t>x</t>
        </is>
      </c>
      <c r="F55" s="60" t="n"/>
      <c r="G55" s="60" t="n"/>
      <c r="H55" s="61" t="n"/>
      <c r="J55" s="57" t="n"/>
      <c r="K55" s="58" t="n"/>
    </row>
    <row r="56" ht="15.75" customHeight="1" s="215">
      <c r="A56" s="51" t="n"/>
      <c r="B56" s="52" t="n">
        <v>45</v>
      </c>
      <c r="C56" s="234" t="inlineStr">
        <is>
          <t>FI-040 – Encabezado_Factura FK a Restaurante y Usuario (integridad referencial)</t>
        </is>
      </c>
      <c r="D56" s="229" t="n"/>
      <c r="E56" s="60" t="inlineStr">
        <is>
          <t>x</t>
        </is>
      </c>
      <c r="F56" s="60" t="n"/>
      <c r="G56" s="60" t="n"/>
      <c r="H56" s="61" t="n"/>
      <c r="J56" s="57" t="n"/>
      <c r="K56" s="58" t="n"/>
    </row>
    <row r="57" ht="15.75" customHeight="1" s="215">
      <c r="A57" s="51" t="n"/>
      <c r="B57" s="52" t="n">
        <v>46</v>
      </c>
      <c r="C57" s="234" t="inlineStr">
        <is>
          <t>FI-041 – Creación de empleado invitado con hash de contraseña</t>
        </is>
      </c>
      <c r="D57" s="229" t="n"/>
      <c r="E57" s="60" t="inlineStr">
        <is>
          <t>x</t>
        </is>
      </c>
      <c r="F57" s="60" t="n"/>
      <c r="G57" s="60" t="n"/>
      <c r="H57" s="61" t="n"/>
      <c r="J57" s="57" t="n"/>
      <c r="K57" s="58" t="n"/>
    </row>
    <row r="58" ht="15.75" customHeight="1" s="215">
      <c r="A58" s="51" t="n"/>
      <c r="B58" s="52" t="n">
        <v>47</v>
      </c>
      <c r="C58" s="234" t="inlineStr">
        <is>
          <t>FI-042 – Endpoint GET /wompi/public-key</t>
        </is>
      </c>
      <c r="D58" s="229" t="n"/>
      <c r="E58" s="60" t="inlineStr">
        <is>
          <t>x</t>
        </is>
      </c>
      <c r="F58" s="60" t="n"/>
      <c r="G58" s="60" t="n"/>
      <c r="H58" s="61" t="n"/>
      <c r="J58" s="57" t="n"/>
      <c r="K58" s="58" t="n"/>
    </row>
    <row r="59" ht="15.75" customHeight="1" s="215">
      <c r="A59" s="51" t="n"/>
      <c r="B59" s="52" t="n">
        <v>48</v>
      </c>
      <c r="C59" s="234" t="inlineStr">
        <is>
          <t>FI-043 – Endpoint GET /data-owner/metricas</t>
        </is>
      </c>
      <c r="D59" s="229" t="n"/>
      <c r="E59" s="60" t="inlineStr">
        <is>
          <t>x</t>
        </is>
      </c>
      <c r="F59" s="60" t="n"/>
      <c r="G59" s="60" t="n"/>
      <c r="H59" s="61" t="n"/>
      <c r="J59" s="57" t="n"/>
      <c r="K59" s="58" t="n"/>
    </row>
    <row r="60" ht="15.75" customHeight="1" s="215">
      <c r="A60" s="51" t="n"/>
      <c r="B60" s="52" t="n">
        <v>49</v>
      </c>
      <c r="C60" s="234" t="inlineStr">
        <is>
          <t>FI-044 – Endpoint GET /data-owner/mi-balance</t>
        </is>
      </c>
      <c r="D60" s="229" t="n"/>
      <c r="E60" s="60" t="inlineStr">
        <is>
          <t>x</t>
        </is>
      </c>
      <c r="F60" s="60" t="n"/>
      <c r="G60" s="60" t="n"/>
      <c r="H60" s="61" t="n"/>
      <c r="J60" s="57" t="n"/>
      <c r="K60" s="58" t="n"/>
    </row>
    <row r="61" ht="15.75" customHeight="1" s="215">
      <c r="A61" s="51" t="n"/>
      <c r="B61" s="52" t="n">
        <v>50</v>
      </c>
      <c r="C61" s="234" t="inlineStr">
        <is>
          <t>FI-045 – Endpoints CRUD /encabezado_factura/</t>
        </is>
      </c>
      <c r="D61" s="229" t="n"/>
      <c r="E61" s="60" t="inlineStr">
        <is>
          <t>x</t>
        </is>
      </c>
      <c r="F61" s="60" t="n"/>
      <c r="G61" s="60" t="n"/>
      <c r="H61" s="61" t="n"/>
      <c r="J61" s="57" t="n"/>
      <c r="K61" s="58" t="n"/>
    </row>
    <row r="62" ht="15.75" customHeight="1" s="215"/>
    <row r="63" ht="15.75" customHeight="1" s="215"/>
    <row r="64" ht="15.75" customHeight="1" s="215"/>
    <row r="65" ht="15.75" customHeight="1" s="215"/>
    <row r="66" ht="15.75" customHeight="1" s="215"/>
    <row r="67" ht="15.75" customHeight="1" s="215"/>
    <row r="68" ht="15.75" customHeight="1" s="215"/>
    <row r="69" ht="15.75" customHeight="1" s="215"/>
    <row r="70" ht="15.75" customHeight="1" s="215"/>
    <row r="71" ht="15.75" customHeight="1" s="215"/>
    <row r="72" ht="15.75" customHeight="1" s="215"/>
    <row r="73" ht="15.75" customHeight="1" s="215"/>
    <row r="74" ht="15.75" customHeight="1" s="215"/>
    <row r="75" ht="15.75" customHeight="1" s="215"/>
    <row r="76" ht="15.75" customHeight="1" s="215"/>
    <row r="77" ht="15.75" customHeight="1" s="215"/>
    <row r="78" ht="15.75" customHeight="1" s="215"/>
    <row r="79" ht="15.75" customHeight="1" s="215"/>
    <row r="80" ht="15.75" customHeight="1" s="215"/>
    <row r="81" ht="15.75" customHeight="1" s="215"/>
    <row r="82" ht="15.75" customHeight="1" s="215"/>
    <row r="83" ht="15.75" customHeight="1" s="215"/>
    <row r="84" ht="15.75" customHeight="1" s="215"/>
    <row r="85" ht="15.75" customHeight="1" s="215"/>
    <row r="86" ht="15.75" customHeight="1" s="215"/>
    <row r="87" ht="15.75" customHeight="1" s="215"/>
    <row r="88" ht="15.75" customHeight="1" s="215"/>
    <row r="89" ht="15.75" customHeight="1" s="215"/>
    <row r="90" ht="15.75" customHeight="1" s="215"/>
    <row r="91" ht="15.75" customHeight="1" s="215"/>
    <row r="92" ht="15.75" customHeight="1" s="215"/>
    <row r="93" ht="15.75" customHeight="1" s="215"/>
    <row r="94" ht="15.75" customHeight="1" s="215"/>
    <row r="95" ht="15.75" customHeight="1" s="215"/>
    <row r="96" ht="15.75" customHeight="1" s="215"/>
    <row r="97" ht="15.75" customHeight="1" s="215"/>
    <row r="98" ht="15.75" customHeight="1" s="215"/>
    <row r="99" ht="15.75" customHeight="1" s="215"/>
    <row r="100" ht="15.75" customHeight="1" s="215"/>
    <row r="101" ht="15.75" customHeight="1" s="215"/>
    <row r="102" ht="15.75" customHeight="1" s="215"/>
    <row r="103" ht="15.75" customHeight="1" s="215"/>
    <row r="104" ht="15.75" customHeight="1" s="215"/>
    <row r="105" ht="15.75" customHeight="1" s="215"/>
    <row r="106" ht="15.75" customHeight="1" s="215"/>
    <row r="107" ht="15.75" customHeight="1" s="215"/>
    <row r="108" ht="15.75" customHeight="1" s="215"/>
    <row r="109" ht="15.75" customHeight="1" s="215"/>
    <row r="110" ht="15.75" customHeight="1" s="215"/>
    <row r="111" ht="15.75" customHeight="1" s="215"/>
    <row r="112" ht="15.75" customHeight="1" s="215"/>
    <row r="113" ht="15.75" customHeight="1" s="215"/>
    <row r="114" ht="15.75" customHeight="1" s="215"/>
    <row r="115" ht="15.75" customHeight="1" s="215"/>
    <row r="116" ht="15.75" customHeight="1" s="215"/>
    <row r="117" ht="15.75" customHeight="1" s="215"/>
    <row r="118" ht="15.75" customHeight="1" s="215"/>
    <row r="119" ht="15.75" customHeight="1" s="215"/>
    <row r="120" ht="15.75" customHeight="1" s="215"/>
    <row r="121" ht="15.75" customHeight="1" s="215"/>
    <row r="122" ht="15.75" customHeight="1" s="215"/>
    <row r="123" ht="15.75" customHeight="1" s="215"/>
    <row r="124" ht="15.75" customHeight="1" s="215"/>
    <row r="125" ht="15.75" customHeight="1" s="215"/>
    <row r="126" ht="15.75" customHeight="1" s="215"/>
    <row r="127" ht="15.75" customHeight="1" s="215"/>
    <row r="128" ht="15.75" customHeight="1" s="215"/>
    <row r="129" ht="15.75" customHeight="1" s="215"/>
    <row r="130" ht="15.75" customHeight="1" s="215"/>
    <row r="131" ht="15.75" customHeight="1" s="215"/>
    <row r="132" ht="15.75" customHeight="1" s="215"/>
    <row r="133" ht="15.75" customHeight="1" s="215"/>
    <row r="134" ht="15.75" customHeight="1" s="215"/>
    <row r="135" ht="15.75" customHeight="1" s="215"/>
    <row r="136" ht="15.75" customHeight="1" s="215"/>
    <row r="137" ht="15.75" customHeight="1" s="215"/>
    <row r="138" ht="15.75" customHeight="1" s="215"/>
    <row r="139" ht="15.75" customHeight="1" s="215"/>
    <row r="140" ht="15.75" customHeight="1" s="215"/>
    <row r="141" ht="15.75" customHeight="1" s="215"/>
    <row r="142" ht="15.75" customHeight="1" s="215"/>
    <row r="143" ht="15.75" customHeight="1" s="215"/>
    <row r="144" ht="15.75" customHeight="1" s="215"/>
    <row r="145" ht="15.75" customHeight="1" s="215"/>
    <row r="146" ht="15.75" customHeight="1" s="215"/>
    <row r="147" ht="15.75" customHeight="1" s="215"/>
    <row r="148" ht="15.75" customHeight="1" s="215"/>
    <row r="149" ht="15.75" customHeight="1" s="215"/>
    <row r="150" ht="15.75" customHeight="1" s="215"/>
    <row r="151" ht="15.75" customHeight="1" s="215"/>
    <row r="152" ht="15.75" customHeight="1" s="215"/>
    <row r="153" ht="15.75" customHeight="1" s="215"/>
    <row r="154" ht="15.75" customHeight="1" s="215"/>
    <row r="155" ht="15.75" customHeight="1" s="215"/>
    <row r="156" ht="15.75" customHeight="1" s="215"/>
    <row r="157" ht="15.75" customHeight="1" s="215"/>
    <row r="158" ht="15.75" customHeight="1" s="215"/>
    <row r="159" ht="15.75" customHeight="1" s="215"/>
    <row r="160" ht="15.75" customHeight="1" s="215"/>
    <row r="161" ht="15.75" customHeight="1" s="215"/>
    <row r="162" ht="15.75" customHeight="1" s="215"/>
    <row r="163" ht="15.75" customHeight="1" s="215"/>
    <row r="164" ht="15.75" customHeight="1" s="215"/>
    <row r="165" ht="15.75" customHeight="1" s="215"/>
    <row r="166" ht="15.75" customHeight="1" s="215"/>
    <row r="167" ht="15.75" customHeight="1" s="215"/>
    <row r="168" ht="15.75" customHeight="1" s="215"/>
    <row r="169" ht="15.75" customHeight="1" s="215"/>
    <row r="170" ht="15.75" customHeight="1" s="215"/>
    <row r="171" ht="15.75" customHeight="1" s="215"/>
    <row r="172" ht="15.75" customHeight="1" s="215"/>
    <row r="173" ht="15.75" customHeight="1" s="215"/>
    <row r="174" ht="15.75" customHeight="1" s="215"/>
    <row r="175" ht="15.75" customHeight="1" s="215"/>
    <row r="176" ht="15.75" customHeight="1" s="215"/>
    <row r="177" ht="15.75" customHeight="1" s="215"/>
    <row r="178" ht="15.75" customHeight="1" s="215"/>
    <row r="179" ht="15.75" customHeight="1" s="215"/>
    <row r="180" ht="15.75" customHeight="1" s="215"/>
    <row r="181" ht="15.75" customHeight="1" s="215"/>
    <row r="182" ht="15.75" customHeight="1" s="215"/>
    <row r="183" ht="15.75" customHeight="1" s="215"/>
    <row r="184" ht="15.75" customHeight="1" s="215"/>
    <row r="185" ht="15.75" customHeight="1" s="215"/>
    <row r="186" ht="15.75" customHeight="1" s="215"/>
    <row r="187" ht="15.75" customHeight="1" s="215"/>
    <row r="188" ht="15.75" customHeight="1" s="215"/>
    <row r="189" ht="15.75" customHeight="1" s="215"/>
    <row r="190" ht="15.75" customHeight="1" s="215"/>
    <row r="191" ht="15.75" customHeight="1" s="215"/>
    <row r="192" ht="15.75" customHeight="1" s="215"/>
    <row r="193" ht="15.75" customHeight="1" s="215"/>
    <row r="194" ht="15.75" customHeight="1" s="215"/>
    <row r="195" ht="15.75" customHeight="1" s="215"/>
    <row r="196" ht="15.75" customHeight="1" s="215"/>
    <row r="197" ht="15.75" customHeight="1" s="215"/>
    <row r="198" ht="15.75" customHeight="1" s="215"/>
    <row r="199" ht="15.75" customHeight="1" s="215"/>
    <row r="200" ht="15.75" customHeight="1" s="215"/>
    <row r="201" ht="15.75" customHeight="1" s="215"/>
    <row r="202" ht="15.75" customHeight="1" s="215"/>
    <row r="203" ht="15.75" customHeight="1" s="215"/>
    <row r="204" ht="15.75" customHeight="1" s="215"/>
    <row r="205" ht="15.75" customHeight="1" s="215"/>
    <row r="206" ht="15.75" customHeight="1" s="215"/>
    <row r="207" ht="15.75" customHeight="1" s="215"/>
    <row r="208" ht="15.75" customHeight="1" s="215"/>
    <row r="209" ht="15.75" customHeight="1" s="215"/>
    <row r="210" ht="15.75" customHeight="1" s="215"/>
    <row r="211" ht="15.75" customHeight="1" s="215"/>
    <row r="212" ht="15.75" customHeight="1" s="215"/>
    <row r="213" ht="15.75" customHeight="1" s="215"/>
    <row r="214" ht="15.75" customHeight="1" s="215"/>
    <row r="215" ht="15.75" customHeight="1" s="215"/>
    <row r="216" ht="15.75" customHeight="1" s="215"/>
    <row r="217" ht="15.75" customHeight="1" s="215"/>
    <row r="218" ht="15.75" customHeight="1" s="215"/>
    <row r="219" ht="15.75" customHeight="1" s="215"/>
    <row r="220" ht="15.75" customHeight="1" s="215"/>
    <row r="221" ht="15.75" customHeight="1" s="215"/>
    <row r="222" ht="15.75" customHeight="1" s="215"/>
    <row r="223" ht="15.75" customHeight="1" s="215"/>
    <row r="224" ht="15.75" customHeight="1" s="215"/>
    <row r="225" ht="15.75" customHeight="1" s="215"/>
    <row r="226" ht="15.75" customHeight="1" s="215"/>
    <row r="227" ht="15.75" customHeight="1" s="215"/>
    <row r="228" ht="15.75" customHeight="1" s="215"/>
    <row r="229" ht="15.75" customHeight="1" s="215"/>
    <row r="230" ht="15.75" customHeight="1" s="215"/>
    <row r="231" ht="15.75" customHeight="1" s="215"/>
    <row r="232" ht="15.75" customHeight="1" s="215"/>
    <row r="233" ht="15.75" customHeight="1" s="215"/>
    <row r="234" ht="15.75" customHeight="1" s="215"/>
    <row r="235" ht="15.75" customHeight="1" s="215"/>
    <row r="236" ht="15.75" customHeight="1" s="215"/>
    <row r="237" ht="15.75" customHeight="1" s="215"/>
    <row r="238" ht="15.75" customHeight="1" s="215"/>
    <row r="239" ht="15.75" customHeight="1" s="215"/>
    <row r="240" ht="15.75" customHeight="1" s="215"/>
    <row r="241" ht="15.75" customHeight="1" s="215"/>
    <row r="242" ht="15.75" customHeight="1" s="215"/>
    <row r="243" ht="15.75" customHeight="1" s="215"/>
    <row r="244" ht="15.75" customHeight="1" s="215"/>
    <row r="245" ht="15.75" customHeight="1" s="215"/>
    <row r="246" ht="15.75" customHeight="1" s="215"/>
    <row r="247" ht="15.75" customHeight="1" s="215"/>
    <row r="248" ht="15.75" customHeight="1" s="215"/>
    <row r="249" ht="15.75" customHeight="1" s="215"/>
    <row r="250" ht="15.75" customHeight="1" s="215"/>
    <row r="251" ht="15.75" customHeight="1" s="215"/>
    <row r="252" ht="15.75" customHeight="1" s="215"/>
    <row r="253" ht="15.75" customHeight="1" s="215"/>
    <row r="254" ht="15.75" customHeight="1" s="215"/>
    <row r="255" ht="15.75" customHeight="1" s="215"/>
    <row r="256" ht="15.75" customHeight="1" s="215"/>
    <row r="257" ht="15.75" customHeight="1" s="215"/>
    <row r="258" ht="15.75" customHeight="1" s="215"/>
    <row r="259" ht="15.75" customHeight="1" s="215"/>
    <row r="260" ht="15.75" customHeight="1" s="215"/>
    <row r="261" ht="15.75" customHeight="1" s="215"/>
    <row r="262" ht="15.75" customHeight="1" s="215"/>
    <row r="263" ht="15.75" customHeight="1" s="215"/>
    <row r="264" ht="15.75" customHeight="1" s="215"/>
    <row r="265" ht="15.75" customHeight="1" s="215"/>
    <row r="266" ht="15.75" customHeight="1" s="215"/>
    <row r="267" ht="15.75" customHeight="1" s="215"/>
    <row r="268" ht="15.75" customHeight="1" s="215"/>
    <row r="269" ht="15.75" customHeight="1" s="215"/>
    <row r="270" ht="15.75" customHeight="1" s="215"/>
    <row r="271" ht="15.75" customHeight="1" s="215"/>
    <row r="272" ht="15.75" customHeight="1" s="215"/>
    <row r="273" ht="15.75" customHeight="1" s="215"/>
    <row r="274" ht="15.75" customHeight="1" s="215"/>
    <row r="275" ht="15.75" customHeight="1" s="215"/>
    <row r="276" ht="15.75" customHeight="1" s="215"/>
    <row r="277" ht="15.75" customHeight="1" s="215"/>
    <row r="278" ht="15.75" customHeight="1" s="215"/>
    <row r="279" ht="15.75" customHeight="1" s="215"/>
    <row r="280" ht="15.75" customHeight="1" s="215"/>
    <row r="281" ht="15.75" customHeight="1" s="215"/>
    <row r="282" ht="15.75" customHeight="1" s="215"/>
    <row r="283" ht="15.75" customHeight="1" s="215"/>
    <row r="284" ht="15.75" customHeight="1" s="215"/>
    <row r="285" ht="15.75" customHeight="1" s="215"/>
    <row r="286" ht="15.75" customHeight="1" s="215"/>
    <row r="287" ht="15.75" customHeight="1" s="215"/>
    <row r="288" ht="15.75" customHeight="1" s="215"/>
    <row r="289" ht="15.75" customHeight="1" s="215"/>
    <row r="290" ht="15.75" customHeight="1" s="215"/>
    <row r="291" ht="15.75" customHeight="1" s="215"/>
    <row r="292" ht="15.75" customHeight="1" s="215"/>
    <row r="293" ht="15.75" customHeight="1" s="215"/>
    <row r="294" ht="15.75" customHeight="1" s="215"/>
    <row r="295" ht="15.75" customHeight="1" s="215"/>
    <row r="296" ht="15.75" customHeight="1" s="215"/>
    <row r="297" ht="15.75" customHeight="1" s="215"/>
    <row r="298" ht="15.75" customHeight="1" s="215"/>
    <row r="299" ht="15.75" customHeight="1" s="215"/>
    <row r="300" ht="15.75" customHeight="1" s="215"/>
    <row r="301" ht="15.75" customHeight="1" s="215"/>
    <row r="302" ht="15.75" customHeight="1" s="215"/>
    <row r="303" ht="15.75" customHeight="1" s="215"/>
    <row r="304" ht="15.75" customHeight="1" s="215"/>
    <row r="305" ht="15.75" customHeight="1" s="215"/>
    <row r="306" ht="15.75" customHeight="1" s="215"/>
    <row r="307" ht="15.75" customHeight="1" s="215"/>
    <row r="308" ht="15.75" customHeight="1" s="215"/>
    <row r="309" ht="15.75" customHeight="1" s="215"/>
    <row r="310" ht="15.75" customHeight="1" s="215"/>
    <row r="311" ht="15.75" customHeight="1" s="215"/>
    <row r="312" ht="15.75" customHeight="1" s="215"/>
    <row r="313" ht="15.75" customHeight="1" s="215"/>
    <row r="314" ht="15.75" customHeight="1" s="215"/>
    <row r="315" ht="15.75" customHeight="1" s="215"/>
    <row r="316" ht="15.75" customHeight="1" s="215"/>
    <row r="317" ht="15.75" customHeight="1" s="215"/>
    <row r="318" ht="15.75" customHeight="1" s="215"/>
    <row r="319" ht="15.75" customHeight="1" s="215"/>
    <row r="320" ht="15.75" customHeight="1" s="215"/>
    <row r="321" ht="15.75" customHeight="1" s="215"/>
    <row r="322" ht="15.75" customHeight="1" s="215"/>
    <row r="323" ht="15.75" customHeight="1" s="215"/>
    <row r="324" ht="15.75" customHeight="1" s="215"/>
    <row r="325" ht="15.75" customHeight="1" s="215"/>
    <row r="326" ht="15.75" customHeight="1" s="215"/>
    <row r="327" ht="15.75" customHeight="1" s="215"/>
    <row r="328" ht="15.75" customHeight="1" s="215"/>
    <row r="329" ht="15.75" customHeight="1" s="215"/>
    <row r="330" ht="15.75" customHeight="1" s="215"/>
    <row r="331" ht="15.75" customHeight="1" s="215"/>
    <row r="332" ht="15.75" customHeight="1" s="215"/>
    <row r="333" ht="15.75" customHeight="1" s="215"/>
    <row r="334" ht="15.75" customHeight="1" s="215"/>
    <row r="335" ht="15.75" customHeight="1" s="215"/>
    <row r="336" ht="15.75" customHeight="1" s="215"/>
    <row r="337" ht="15.75" customHeight="1" s="215"/>
    <row r="338" ht="15.75" customHeight="1" s="215"/>
    <row r="339" ht="15.75" customHeight="1" s="215"/>
    <row r="340" ht="15.75" customHeight="1" s="215"/>
    <row r="341" ht="15.75" customHeight="1" s="215"/>
    <row r="342" ht="15.75" customHeight="1" s="215"/>
    <row r="343" ht="15.75" customHeight="1" s="215"/>
    <row r="344" ht="15.75" customHeight="1" s="215"/>
    <row r="345" ht="15.75" customHeight="1" s="215"/>
    <row r="346" ht="15.75" customHeight="1" s="215"/>
    <row r="347" ht="15.75" customHeight="1" s="215"/>
    <row r="348" ht="15.75" customHeight="1" s="215"/>
    <row r="349" ht="15.75" customHeight="1" s="215"/>
    <row r="350" ht="15.75" customHeight="1" s="215"/>
    <row r="351" ht="15.75" customHeight="1" s="215"/>
    <row r="352" ht="15.75" customHeight="1" s="215"/>
    <row r="353" ht="15.75" customHeight="1" s="215"/>
    <row r="354" ht="15.75" customHeight="1" s="215"/>
    <row r="355" ht="15.75" customHeight="1" s="215"/>
    <row r="356" ht="15.75" customHeight="1" s="215"/>
    <row r="357" ht="15.75" customHeight="1" s="215"/>
    <row r="358" ht="15.75" customHeight="1" s="215"/>
    <row r="359" ht="15.75" customHeight="1" s="215"/>
    <row r="360" ht="15.75" customHeight="1" s="215"/>
    <row r="361" ht="15.75" customHeight="1" s="215"/>
    <row r="362" ht="15.75" customHeight="1" s="215"/>
    <row r="363" ht="15.75" customHeight="1" s="215"/>
    <row r="364" ht="15.75" customHeight="1" s="215"/>
    <row r="365" ht="15.75" customHeight="1" s="215"/>
    <row r="366" ht="15.75" customHeight="1" s="215"/>
    <row r="367" ht="15.75" customHeight="1" s="215"/>
    <row r="368" ht="15.75" customHeight="1" s="215"/>
    <row r="369" ht="15.75" customHeight="1" s="215"/>
    <row r="370" ht="15.75" customHeight="1" s="215"/>
    <row r="371" ht="15.75" customHeight="1" s="215"/>
    <row r="372" ht="15.75" customHeight="1" s="215"/>
    <row r="373" ht="15.75" customHeight="1" s="215"/>
    <row r="374" ht="15.75" customHeight="1" s="215"/>
    <row r="375" ht="15.75" customHeight="1" s="215"/>
    <row r="376" ht="15.75" customHeight="1" s="215"/>
    <row r="377" ht="15.75" customHeight="1" s="215"/>
    <row r="378" ht="15.75" customHeight="1" s="215"/>
    <row r="379" ht="15.75" customHeight="1" s="215"/>
    <row r="380" ht="15.75" customHeight="1" s="215"/>
    <row r="381" ht="15.75" customHeight="1" s="215"/>
    <row r="382" ht="15.75" customHeight="1" s="215"/>
    <row r="383" ht="15.75" customHeight="1" s="215"/>
    <row r="384" ht="15.75" customHeight="1" s="215"/>
    <row r="385" ht="15.75" customHeight="1" s="215"/>
    <row r="386" ht="15.75" customHeight="1" s="215"/>
    <row r="387" ht="15.75" customHeight="1" s="215"/>
    <row r="388" ht="15.75" customHeight="1" s="215"/>
    <row r="389" ht="15.75" customHeight="1" s="215"/>
    <row r="390" ht="15.75" customHeight="1" s="215"/>
    <row r="391" ht="15.75" customHeight="1" s="215"/>
    <row r="392" ht="15.75" customHeight="1" s="215"/>
    <row r="393" ht="15.75" customHeight="1" s="215"/>
    <row r="394" ht="15.75" customHeight="1" s="215"/>
    <row r="395" ht="15.75" customHeight="1" s="215"/>
    <row r="396" ht="15.75" customHeight="1" s="215"/>
    <row r="397" ht="15.75" customHeight="1" s="215"/>
    <row r="398" ht="15.75" customHeight="1" s="215"/>
    <row r="399" ht="15.75" customHeight="1" s="215"/>
    <row r="400" ht="15.75" customHeight="1" s="215"/>
    <row r="401" ht="15.75" customHeight="1" s="215"/>
    <row r="402" ht="15.75" customHeight="1" s="215"/>
    <row r="403" ht="15.75" customHeight="1" s="215"/>
    <row r="404" ht="15.75" customHeight="1" s="215"/>
    <row r="405" ht="15.75" customHeight="1" s="215"/>
    <row r="406" ht="15.75" customHeight="1" s="215"/>
    <row r="407" ht="15.75" customHeight="1" s="215"/>
    <row r="408" ht="15.75" customHeight="1" s="215"/>
    <row r="409" ht="15.75" customHeight="1" s="215"/>
    <row r="410" ht="15.75" customHeight="1" s="215"/>
    <row r="411" ht="15.75" customHeight="1" s="215"/>
    <row r="412" ht="15.75" customHeight="1" s="215"/>
    <row r="413" ht="15.75" customHeight="1" s="215"/>
    <row r="414" ht="15.75" customHeight="1" s="215"/>
    <row r="415" ht="15.75" customHeight="1" s="215"/>
    <row r="416" ht="15.75" customHeight="1" s="215"/>
    <row r="417" ht="15.75" customHeight="1" s="215"/>
    <row r="418" ht="15.75" customHeight="1" s="215"/>
    <row r="419" ht="15.75" customHeight="1" s="215"/>
    <row r="420" ht="15.75" customHeight="1" s="215"/>
    <row r="421" ht="15.75" customHeight="1" s="215"/>
    <row r="422" ht="15.75" customHeight="1" s="215"/>
    <row r="423" ht="15.75" customHeight="1" s="215"/>
    <row r="424" ht="15.75" customHeight="1" s="215"/>
    <row r="425" ht="15.75" customHeight="1" s="215"/>
    <row r="426" ht="15.75" customHeight="1" s="215"/>
    <row r="427" ht="15.75" customHeight="1" s="215"/>
    <row r="428" ht="15.75" customHeight="1" s="215"/>
    <row r="429" ht="15.75" customHeight="1" s="215"/>
    <row r="430" ht="15.75" customHeight="1" s="215"/>
    <row r="431" ht="15.75" customHeight="1" s="215"/>
    <row r="432" ht="15.75" customHeight="1" s="215"/>
    <row r="433" ht="15.75" customHeight="1" s="215"/>
    <row r="434" ht="15.75" customHeight="1" s="215"/>
    <row r="435" ht="15.75" customHeight="1" s="215"/>
    <row r="436" ht="15.75" customHeight="1" s="215"/>
    <row r="437" ht="15.75" customHeight="1" s="215"/>
    <row r="438" ht="15.75" customHeight="1" s="215"/>
    <row r="439" ht="15.75" customHeight="1" s="215"/>
    <row r="440" ht="15.75" customHeight="1" s="215"/>
    <row r="441" ht="15.75" customHeight="1" s="215"/>
    <row r="442" ht="15.75" customHeight="1" s="215"/>
    <row r="443" ht="15.75" customHeight="1" s="215"/>
    <row r="444" ht="15.75" customHeight="1" s="215"/>
    <row r="445" ht="15.75" customHeight="1" s="215"/>
    <row r="446" ht="15.75" customHeight="1" s="215"/>
    <row r="447" ht="15.75" customHeight="1" s="215"/>
    <row r="448" ht="15.75" customHeight="1" s="215"/>
    <row r="449" ht="15.75" customHeight="1" s="215"/>
    <row r="450" ht="15.75" customHeight="1" s="215"/>
    <row r="451" ht="15.75" customHeight="1" s="215"/>
    <row r="452" ht="15.75" customHeight="1" s="215"/>
    <row r="453" ht="15.75" customHeight="1" s="215"/>
    <row r="454" ht="15.75" customHeight="1" s="215"/>
    <row r="455" ht="15.75" customHeight="1" s="215"/>
    <row r="456" ht="15.75" customHeight="1" s="215"/>
    <row r="457" ht="15.75" customHeight="1" s="215"/>
    <row r="458" ht="15.75" customHeight="1" s="215"/>
    <row r="459" ht="15.75" customHeight="1" s="215"/>
    <row r="460" ht="15.75" customHeight="1" s="215"/>
    <row r="461" ht="15.75" customHeight="1" s="215"/>
    <row r="462" ht="15.75" customHeight="1" s="215"/>
    <row r="463" ht="15.75" customHeight="1" s="215"/>
    <row r="464" ht="15.75" customHeight="1" s="215"/>
    <row r="465" ht="15.75" customHeight="1" s="215"/>
    <row r="466" ht="15.75" customHeight="1" s="215"/>
    <row r="467" ht="15.75" customHeight="1" s="215"/>
    <row r="468" ht="15.75" customHeight="1" s="215"/>
    <row r="469" ht="15.75" customHeight="1" s="215"/>
    <row r="470" ht="15.75" customHeight="1" s="215"/>
    <row r="471" ht="15.75" customHeight="1" s="215"/>
    <row r="472" ht="15.75" customHeight="1" s="215"/>
    <row r="473" ht="15.75" customHeight="1" s="215"/>
    <row r="474" ht="15.75" customHeight="1" s="215"/>
    <row r="475" ht="15.75" customHeight="1" s="215"/>
    <row r="476" ht="15.75" customHeight="1" s="215"/>
    <row r="477" ht="15.75" customHeight="1" s="215"/>
    <row r="478" ht="15.75" customHeight="1" s="215"/>
    <row r="479" ht="15.75" customHeight="1" s="215"/>
    <row r="480" ht="15.75" customHeight="1" s="215"/>
    <row r="481" ht="15.75" customHeight="1" s="215"/>
    <row r="482" ht="15.75" customHeight="1" s="215"/>
    <row r="483" ht="15.75" customHeight="1" s="215"/>
    <row r="484" ht="15.75" customHeight="1" s="215"/>
    <row r="485" ht="15.75" customHeight="1" s="215"/>
    <row r="486" ht="15.75" customHeight="1" s="215"/>
    <row r="487" ht="15.75" customHeight="1" s="215"/>
    <row r="488" ht="15.75" customHeight="1" s="215"/>
    <row r="489" ht="15.75" customHeight="1" s="215"/>
    <row r="490" ht="15.75" customHeight="1" s="215"/>
    <row r="491" ht="15.75" customHeight="1" s="215"/>
    <row r="492" ht="15.75" customHeight="1" s="215"/>
    <row r="493" ht="15.75" customHeight="1" s="215"/>
    <row r="494" ht="15.75" customHeight="1" s="215"/>
    <row r="495" ht="15.75" customHeight="1" s="215"/>
    <row r="496" ht="15.75" customHeight="1" s="215"/>
    <row r="497" ht="15.75" customHeight="1" s="215"/>
    <row r="498" ht="15.75" customHeight="1" s="215"/>
    <row r="499" ht="15.75" customHeight="1" s="215"/>
    <row r="500" ht="15.75" customHeight="1" s="215"/>
    <row r="501" ht="15.75" customHeight="1" s="215"/>
    <row r="502" ht="15.75" customHeight="1" s="215"/>
    <row r="503" ht="15.75" customHeight="1" s="215"/>
    <row r="504" ht="15.75" customHeight="1" s="215"/>
    <row r="505" ht="15.75" customHeight="1" s="215"/>
    <row r="506" ht="15.75" customHeight="1" s="215"/>
    <row r="507" ht="15.75" customHeight="1" s="215"/>
    <row r="508" ht="15.75" customHeight="1" s="215"/>
    <row r="509" ht="15.75" customHeight="1" s="215"/>
    <row r="510" ht="15.75" customHeight="1" s="215"/>
    <row r="511" ht="15.75" customHeight="1" s="215"/>
    <row r="512" ht="15.75" customHeight="1" s="215"/>
    <row r="513" ht="15.75" customHeight="1" s="215"/>
    <row r="514" ht="15.75" customHeight="1" s="215"/>
    <row r="515" ht="15.75" customHeight="1" s="215"/>
    <row r="516" ht="15.75" customHeight="1" s="215"/>
    <row r="517" ht="15.75" customHeight="1" s="215"/>
    <row r="518" ht="15.75" customHeight="1" s="215"/>
    <row r="519" ht="15.75" customHeight="1" s="215"/>
    <row r="520" ht="15.75" customHeight="1" s="215"/>
    <row r="521" ht="15.75" customHeight="1" s="215"/>
    <row r="522" ht="15.75" customHeight="1" s="215"/>
    <row r="523" ht="15.75" customHeight="1" s="215"/>
    <row r="524" ht="15.75" customHeight="1" s="215"/>
    <row r="525" ht="15.75" customHeight="1" s="215"/>
    <row r="526" ht="15.75" customHeight="1" s="215"/>
    <row r="527" ht="15.75" customHeight="1" s="215"/>
    <row r="528" ht="15.75" customHeight="1" s="215"/>
    <row r="529" ht="15.75" customHeight="1" s="215"/>
    <row r="530" ht="15.75" customHeight="1" s="215"/>
    <row r="531" ht="15.75" customHeight="1" s="215"/>
    <row r="532" ht="15.75" customHeight="1" s="215"/>
    <row r="533" ht="15.75" customHeight="1" s="215"/>
    <row r="534" ht="15.75" customHeight="1" s="215"/>
    <row r="535" ht="15.75" customHeight="1" s="215"/>
    <row r="536" ht="15.75" customHeight="1" s="215"/>
    <row r="537" ht="15.75" customHeight="1" s="215"/>
    <row r="538" ht="15.75" customHeight="1" s="215"/>
    <row r="539" ht="15.75" customHeight="1" s="215"/>
    <row r="540" ht="15.75" customHeight="1" s="215"/>
    <row r="541" ht="15.75" customHeight="1" s="215"/>
    <row r="542" ht="15.75" customHeight="1" s="215"/>
    <row r="543" ht="15.75" customHeight="1" s="215"/>
    <row r="544" ht="15.75" customHeight="1" s="215"/>
    <row r="545" ht="15.75" customHeight="1" s="215"/>
    <row r="546" ht="15.75" customHeight="1" s="215"/>
    <row r="547" ht="15.75" customHeight="1" s="215"/>
    <row r="548" ht="15.75" customHeight="1" s="215"/>
    <row r="549" ht="15.75" customHeight="1" s="215"/>
    <row r="550" ht="15.75" customHeight="1" s="215"/>
    <row r="551" ht="15.75" customHeight="1" s="215"/>
    <row r="552" ht="15.75" customHeight="1" s="215"/>
    <row r="553" ht="15.75" customHeight="1" s="215"/>
    <row r="554" ht="15.75" customHeight="1" s="215"/>
    <row r="555" ht="15.75" customHeight="1" s="215"/>
    <row r="556" ht="15.75" customHeight="1" s="215"/>
    <row r="557" ht="15.75" customHeight="1" s="215"/>
    <row r="558" ht="15.75" customHeight="1" s="215"/>
    <row r="559" ht="15.75" customHeight="1" s="215"/>
    <row r="560" ht="15.75" customHeight="1" s="215"/>
    <row r="561" ht="15.75" customHeight="1" s="215"/>
    <row r="562" ht="15.75" customHeight="1" s="215"/>
    <row r="563" ht="15.75" customHeight="1" s="215"/>
    <row r="564" ht="15.75" customHeight="1" s="215"/>
    <row r="565" ht="15.75" customHeight="1" s="215"/>
    <row r="566" ht="15.75" customHeight="1" s="215"/>
    <row r="567" ht="15.75" customHeight="1" s="215"/>
    <row r="568" ht="15.75" customHeight="1" s="215"/>
    <row r="569" ht="15.75" customHeight="1" s="215"/>
    <row r="570" ht="15.75" customHeight="1" s="215"/>
    <row r="571" ht="15.75" customHeight="1" s="215"/>
    <row r="572" ht="15.75" customHeight="1" s="215"/>
    <row r="573" ht="15.75" customHeight="1" s="215"/>
    <row r="574" ht="15.75" customHeight="1" s="215"/>
    <row r="575" ht="15.75" customHeight="1" s="215"/>
    <row r="576" ht="15.75" customHeight="1" s="215"/>
    <row r="577" ht="15.75" customHeight="1" s="215"/>
    <row r="578" ht="15.75" customHeight="1" s="215"/>
    <row r="579" ht="15.75" customHeight="1" s="215"/>
    <row r="580" ht="15.75" customHeight="1" s="215"/>
    <row r="581" ht="15.75" customHeight="1" s="215"/>
    <row r="582" ht="15.75" customHeight="1" s="215"/>
    <row r="583" ht="15.75" customHeight="1" s="215"/>
    <row r="584" ht="15.75" customHeight="1" s="215"/>
    <row r="585" ht="15.75" customHeight="1" s="215"/>
    <row r="586" ht="15.75" customHeight="1" s="215"/>
    <row r="587" ht="15.75" customHeight="1" s="215"/>
    <row r="588" ht="15.75" customHeight="1" s="215"/>
    <row r="589" ht="15.75" customHeight="1" s="215"/>
    <row r="590" ht="15.75" customHeight="1" s="215"/>
    <row r="591" ht="15.75" customHeight="1" s="215"/>
    <row r="592" ht="15.75" customHeight="1" s="215"/>
    <row r="593" ht="15.75" customHeight="1" s="215"/>
    <row r="594" ht="15.75" customHeight="1" s="215"/>
    <row r="595" ht="15.75" customHeight="1" s="215"/>
    <row r="596" ht="15.75" customHeight="1" s="215"/>
    <row r="597" ht="15.75" customHeight="1" s="215"/>
    <row r="598" ht="15.75" customHeight="1" s="215"/>
    <row r="599" ht="15.75" customHeight="1" s="215"/>
    <row r="600" ht="15.75" customHeight="1" s="215"/>
    <row r="601" ht="15.75" customHeight="1" s="215"/>
    <row r="602" ht="15.75" customHeight="1" s="215"/>
    <row r="603" ht="15.75" customHeight="1" s="215"/>
    <row r="604" ht="15.75" customHeight="1" s="215"/>
    <row r="605" ht="15.75" customHeight="1" s="215"/>
    <row r="606" ht="15.75" customHeight="1" s="215"/>
    <row r="607" ht="15.75" customHeight="1" s="215"/>
    <row r="608" ht="15.75" customHeight="1" s="215"/>
    <row r="609" ht="15.75" customHeight="1" s="215"/>
    <row r="610" ht="15.75" customHeight="1" s="215"/>
    <row r="611" ht="15.75" customHeight="1" s="215"/>
    <row r="612" ht="15.75" customHeight="1" s="215"/>
    <row r="613" ht="15.75" customHeight="1" s="215"/>
    <row r="614" ht="15.75" customHeight="1" s="215"/>
    <row r="615" ht="15.75" customHeight="1" s="215"/>
    <row r="616" ht="15.75" customHeight="1" s="215"/>
    <row r="617" ht="15.75" customHeight="1" s="215"/>
    <row r="618" ht="15.75" customHeight="1" s="215"/>
    <row r="619" ht="15.75" customHeight="1" s="215"/>
    <row r="620" ht="15.75" customHeight="1" s="215"/>
    <row r="621" ht="15.75" customHeight="1" s="215"/>
    <row r="622" ht="15.75" customHeight="1" s="215"/>
    <row r="623" ht="15.75" customHeight="1" s="215"/>
    <row r="624" ht="15.75" customHeight="1" s="215"/>
    <row r="625" ht="15.75" customHeight="1" s="215"/>
    <row r="626" ht="15.75" customHeight="1" s="215"/>
    <row r="627" ht="15.75" customHeight="1" s="215"/>
    <row r="628" ht="15.75" customHeight="1" s="215"/>
    <row r="629" ht="15.75" customHeight="1" s="215"/>
    <row r="630" ht="15.75" customHeight="1" s="215"/>
    <row r="631" ht="15.75" customHeight="1" s="215"/>
    <row r="632" ht="15.75" customHeight="1" s="215"/>
    <row r="633" ht="15.75" customHeight="1" s="215"/>
    <row r="634" ht="15.75" customHeight="1" s="215"/>
    <row r="635" ht="15.75" customHeight="1" s="215"/>
    <row r="636" ht="15.75" customHeight="1" s="215"/>
    <row r="637" ht="15.75" customHeight="1" s="215"/>
    <row r="638" ht="15.75" customHeight="1" s="215"/>
    <row r="639" ht="15.75" customHeight="1" s="215"/>
    <row r="640" ht="15.75" customHeight="1" s="215"/>
    <row r="641" ht="15.75" customHeight="1" s="215"/>
    <row r="642" ht="15.75" customHeight="1" s="215"/>
    <row r="643" ht="15.75" customHeight="1" s="215"/>
    <row r="644" ht="15.75" customHeight="1" s="215"/>
    <row r="645" ht="15.75" customHeight="1" s="215"/>
    <row r="646" ht="15.75" customHeight="1" s="215"/>
    <row r="647" ht="15.75" customHeight="1" s="215"/>
    <row r="648" ht="15.75" customHeight="1" s="215"/>
    <row r="649" ht="15.75" customHeight="1" s="215"/>
    <row r="650" ht="15.75" customHeight="1" s="215"/>
    <row r="651" ht="15.75" customHeight="1" s="215"/>
    <row r="652" ht="15.75" customHeight="1" s="215"/>
    <row r="653" ht="15.75" customHeight="1" s="215"/>
    <row r="654" ht="15.75" customHeight="1" s="215"/>
    <row r="655" ht="15.75" customHeight="1" s="215"/>
    <row r="656" ht="15.75" customHeight="1" s="215"/>
    <row r="657" ht="15.75" customHeight="1" s="215"/>
    <row r="658" ht="15.75" customHeight="1" s="215"/>
    <row r="659" ht="15.75" customHeight="1" s="215"/>
    <row r="660" ht="15.75" customHeight="1" s="215"/>
    <row r="661" ht="15.75" customHeight="1" s="215"/>
    <row r="662" ht="15.75" customHeight="1" s="215"/>
    <row r="663" ht="15.75" customHeight="1" s="215"/>
    <row r="664" ht="15.75" customHeight="1" s="215"/>
    <row r="665" ht="15.75" customHeight="1" s="215"/>
    <row r="666" ht="15.75" customHeight="1" s="215"/>
    <row r="667" ht="15.75" customHeight="1" s="215"/>
    <row r="668" ht="15.75" customHeight="1" s="215"/>
    <row r="669" ht="15.75" customHeight="1" s="215"/>
    <row r="670" ht="15.75" customHeight="1" s="215"/>
    <row r="671" ht="15.75" customHeight="1" s="215"/>
    <row r="672" ht="15.75" customHeight="1" s="215"/>
    <row r="673" ht="15.75" customHeight="1" s="215"/>
    <row r="674" ht="15.75" customHeight="1" s="215"/>
    <row r="675" ht="15.75" customHeight="1" s="215"/>
    <row r="676" ht="15.75" customHeight="1" s="215"/>
    <row r="677" ht="15.75" customHeight="1" s="215"/>
    <row r="678" ht="15.75" customHeight="1" s="215"/>
    <row r="679" ht="15.75" customHeight="1" s="215"/>
    <row r="680" ht="15.75" customHeight="1" s="215"/>
    <row r="681" ht="15.75" customHeight="1" s="215"/>
    <row r="682" ht="15.75" customHeight="1" s="215"/>
    <row r="683" ht="15.75" customHeight="1" s="215"/>
    <row r="684" ht="15.75" customHeight="1" s="215"/>
    <row r="685" ht="15.75" customHeight="1" s="215"/>
    <row r="686" ht="15.75" customHeight="1" s="215"/>
    <row r="687" ht="15.75" customHeight="1" s="215"/>
    <row r="688" ht="15.75" customHeight="1" s="215"/>
    <row r="689" ht="15.75" customHeight="1" s="215"/>
    <row r="690" ht="15.75" customHeight="1" s="215"/>
    <row r="691" ht="15.75" customHeight="1" s="215"/>
    <row r="692" ht="15.75" customHeight="1" s="215"/>
    <row r="693" ht="15.75" customHeight="1" s="215"/>
    <row r="694" ht="15.75" customHeight="1" s="215"/>
    <row r="695" ht="15.75" customHeight="1" s="215"/>
    <row r="696" ht="15.75" customHeight="1" s="215"/>
    <row r="697" ht="15.75" customHeight="1" s="215"/>
    <row r="698" ht="15.75" customHeight="1" s="215"/>
    <row r="699" ht="15.75" customHeight="1" s="215"/>
    <row r="700" ht="15.75" customHeight="1" s="215"/>
    <row r="701" ht="15.75" customHeight="1" s="215"/>
    <row r="702" ht="15.75" customHeight="1" s="215"/>
    <row r="703" ht="15.75" customHeight="1" s="215"/>
    <row r="704" ht="15.75" customHeight="1" s="215"/>
    <row r="705" ht="15.75" customHeight="1" s="215"/>
    <row r="706" ht="15.75" customHeight="1" s="215"/>
    <row r="707" ht="15.75" customHeight="1" s="215"/>
    <row r="708" ht="15.75" customHeight="1" s="215"/>
    <row r="709" ht="15.75" customHeight="1" s="215"/>
    <row r="710" ht="15.75" customHeight="1" s="215"/>
    <row r="711" ht="15.75" customHeight="1" s="215"/>
    <row r="712" ht="15.75" customHeight="1" s="215"/>
    <row r="713" ht="15.75" customHeight="1" s="215"/>
    <row r="714" ht="15.75" customHeight="1" s="215"/>
    <row r="715" ht="15.75" customHeight="1" s="215"/>
    <row r="716" ht="15.75" customHeight="1" s="215"/>
    <row r="717" ht="15.75" customHeight="1" s="215"/>
    <row r="718" ht="15.75" customHeight="1" s="215"/>
    <row r="719" ht="15.75" customHeight="1" s="215"/>
    <row r="720" ht="15.75" customHeight="1" s="215"/>
    <row r="721" ht="15.75" customHeight="1" s="215"/>
    <row r="722" ht="15.75" customHeight="1" s="215"/>
    <row r="723" ht="15.75" customHeight="1" s="215"/>
    <row r="724" ht="15.75" customHeight="1" s="215"/>
    <row r="725" ht="15.75" customHeight="1" s="215"/>
    <row r="726" ht="15.75" customHeight="1" s="215"/>
    <row r="727" ht="15.75" customHeight="1" s="215"/>
    <row r="728" ht="15.75" customHeight="1" s="215"/>
    <row r="729" ht="15.75" customHeight="1" s="215"/>
    <row r="730" ht="15.75" customHeight="1" s="215"/>
    <row r="731" ht="15.75" customHeight="1" s="215"/>
    <row r="732" ht="15.75" customHeight="1" s="215"/>
    <row r="733" ht="15.75" customHeight="1" s="215"/>
    <row r="734" ht="15.75" customHeight="1" s="215"/>
    <row r="735" ht="15.75" customHeight="1" s="215"/>
    <row r="736" ht="15.75" customHeight="1" s="215"/>
    <row r="737" ht="15.75" customHeight="1" s="215"/>
    <row r="738" ht="15.75" customHeight="1" s="215"/>
    <row r="739" ht="15.75" customHeight="1" s="215"/>
    <row r="740" ht="15.75" customHeight="1" s="215"/>
    <row r="741" ht="15.75" customHeight="1" s="215"/>
    <row r="742" ht="15.75" customHeight="1" s="215"/>
    <row r="743" ht="15.75" customHeight="1" s="215"/>
    <row r="744" ht="15.75" customHeight="1" s="215"/>
    <row r="745" ht="15.75" customHeight="1" s="215"/>
    <row r="746" ht="15.75" customHeight="1" s="215"/>
    <row r="747" ht="15.75" customHeight="1" s="215"/>
    <row r="748" ht="15.75" customHeight="1" s="215"/>
    <row r="749" ht="15.75" customHeight="1" s="215"/>
    <row r="750" ht="15.75" customHeight="1" s="215"/>
    <row r="751" ht="15.75" customHeight="1" s="215"/>
    <row r="752" ht="15.75" customHeight="1" s="215"/>
    <row r="753" ht="15.75" customHeight="1" s="215"/>
    <row r="754" ht="15.75" customHeight="1" s="215"/>
    <row r="755" ht="15.75" customHeight="1" s="215"/>
    <row r="756" ht="15.75" customHeight="1" s="215"/>
    <row r="757" ht="15.75" customHeight="1" s="215"/>
    <row r="758" ht="15.75" customHeight="1" s="215"/>
    <row r="759" ht="15.75" customHeight="1" s="215"/>
    <row r="760" ht="15.75" customHeight="1" s="215"/>
    <row r="761" ht="15.75" customHeight="1" s="215"/>
    <row r="762" ht="15.75" customHeight="1" s="215"/>
    <row r="763" ht="15.75" customHeight="1" s="215"/>
    <row r="764" ht="15.75" customHeight="1" s="215"/>
    <row r="765" ht="15.75" customHeight="1" s="215"/>
    <row r="766" ht="15.75" customHeight="1" s="215"/>
    <row r="767" ht="15.75" customHeight="1" s="215"/>
    <row r="768" ht="15.75" customHeight="1" s="215"/>
    <row r="769" ht="15.75" customHeight="1" s="215"/>
    <row r="770" ht="15.75" customHeight="1" s="215"/>
    <row r="771" ht="15.75" customHeight="1" s="215"/>
    <row r="772" ht="15.75" customHeight="1" s="215"/>
    <row r="773" ht="15.75" customHeight="1" s="215"/>
    <row r="774" ht="15.75" customHeight="1" s="215"/>
    <row r="775" ht="15.75" customHeight="1" s="215"/>
    <row r="776" ht="15.75" customHeight="1" s="215"/>
    <row r="777" ht="15.75" customHeight="1" s="215"/>
    <row r="778" ht="15.75" customHeight="1" s="215"/>
    <row r="779" ht="15.75" customHeight="1" s="215"/>
    <row r="780" ht="15.75" customHeight="1" s="215"/>
    <row r="781" ht="15.75" customHeight="1" s="215"/>
    <row r="782" ht="15.75" customHeight="1" s="215"/>
    <row r="783" ht="15.75" customHeight="1" s="215"/>
    <row r="784" ht="15.75" customHeight="1" s="215"/>
    <row r="785" ht="15.75" customHeight="1" s="215"/>
    <row r="786" ht="15.75" customHeight="1" s="215"/>
    <row r="787" ht="15.75" customHeight="1" s="215"/>
    <row r="788" ht="15.75" customHeight="1" s="215"/>
    <row r="789" ht="15.75" customHeight="1" s="215"/>
    <row r="790" ht="15.75" customHeight="1" s="215"/>
    <row r="791" ht="15.75" customHeight="1" s="215"/>
    <row r="792" ht="15.75" customHeight="1" s="215"/>
    <row r="793" ht="15.75" customHeight="1" s="215"/>
    <row r="794" ht="15.75" customHeight="1" s="215"/>
    <row r="795" ht="15.75" customHeight="1" s="215"/>
    <row r="796" ht="15.75" customHeight="1" s="215"/>
    <row r="797" ht="15.75" customHeight="1" s="215"/>
    <row r="798" ht="15.75" customHeight="1" s="215"/>
    <row r="799" ht="15.75" customHeight="1" s="215"/>
    <row r="800" ht="15.75" customHeight="1" s="215"/>
    <row r="801" ht="15.75" customHeight="1" s="215"/>
    <row r="802" ht="15.75" customHeight="1" s="215"/>
    <row r="803" ht="15.75" customHeight="1" s="215"/>
    <row r="804" ht="15.75" customHeight="1" s="215"/>
    <row r="805" ht="15.75" customHeight="1" s="215"/>
    <row r="806" ht="15.75" customHeight="1" s="215"/>
    <row r="807" ht="15.75" customHeight="1" s="215"/>
    <row r="808" ht="15.75" customHeight="1" s="215"/>
    <row r="809" ht="15.75" customHeight="1" s="215"/>
    <row r="810" ht="15.75" customHeight="1" s="215"/>
    <row r="811" ht="15.75" customHeight="1" s="215"/>
    <row r="812" ht="15.75" customHeight="1" s="215"/>
    <row r="813" ht="15.75" customHeight="1" s="215"/>
    <row r="814" ht="15.75" customHeight="1" s="215"/>
    <row r="815" ht="15.75" customHeight="1" s="215"/>
    <row r="816" ht="15.75" customHeight="1" s="215"/>
    <row r="817" ht="15.75" customHeight="1" s="215"/>
    <row r="818" ht="15.75" customHeight="1" s="215"/>
    <row r="819" ht="15.75" customHeight="1" s="215"/>
    <row r="820" ht="15.75" customHeight="1" s="215"/>
    <row r="821" ht="15.75" customHeight="1" s="215"/>
    <row r="822" ht="15.75" customHeight="1" s="215"/>
    <row r="823" ht="15.75" customHeight="1" s="215"/>
    <row r="824" ht="15.75" customHeight="1" s="215"/>
    <row r="825" ht="15.75" customHeight="1" s="215"/>
    <row r="826" ht="15.75" customHeight="1" s="215"/>
    <row r="827" ht="15.75" customHeight="1" s="215"/>
    <row r="828" ht="15.75" customHeight="1" s="215"/>
    <row r="829" ht="15.75" customHeight="1" s="215"/>
    <row r="830" ht="15.75" customHeight="1" s="215"/>
    <row r="831" ht="15.75" customHeight="1" s="215"/>
    <row r="832" ht="15.75" customHeight="1" s="215"/>
    <row r="833" ht="15.75" customHeight="1" s="215"/>
    <row r="834" ht="15.75" customHeight="1" s="215"/>
    <row r="835" ht="15.75" customHeight="1" s="215"/>
    <row r="836" ht="15.75" customHeight="1" s="215"/>
    <row r="837" ht="15.75" customHeight="1" s="215"/>
    <row r="838" ht="15.75" customHeight="1" s="215"/>
    <row r="839" ht="15.75" customHeight="1" s="215"/>
    <row r="840" ht="15.75" customHeight="1" s="215"/>
    <row r="841" ht="15.75" customHeight="1" s="215"/>
    <row r="842" ht="15.75" customHeight="1" s="215"/>
    <row r="843" ht="15.75" customHeight="1" s="215"/>
    <row r="844" ht="15.75" customHeight="1" s="215"/>
    <row r="845" ht="15.75" customHeight="1" s="215"/>
    <row r="846" ht="15.75" customHeight="1" s="215"/>
    <row r="847" ht="15.75" customHeight="1" s="215"/>
    <row r="848" ht="15.75" customHeight="1" s="215"/>
    <row r="849" ht="15.75" customHeight="1" s="215"/>
    <row r="850" ht="15.75" customHeight="1" s="215"/>
    <row r="851" ht="15.75" customHeight="1" s="215"/>
    <row r="852" ht="15.75" customHeight="1" s="215"/>
    <row r="853" ht="15.75" customHeight="1" s="215"/>
    <row r="854" ht="15.75" customHeight="1" s="215"/>
    <row r="855" ht="15.75" customHeight="1" s="215"/>
    <row r="856" ht="15.75" customHeight="1" s="215"/>
    <row r="857" ht="15.75" customHeight="1" s="215"/>
    <row r="858" ht="15.75" customHeight="1" s="215"/>
    <row r="859" ht="15.75" customHeight="1" s="215"/>
    <row r="860" ht="15.75" customHeight="1" s="215"/>
    <row r="861" ht="15.75" customHeight="1" s="215"/>
    <row r="862" ht="15.75" customHeight="1" s="215"/>
    <row r="863" ht="15.75" customHeight="1" s="215"/>
    <row r="864" ht="15.75" customHeight="1" s="215"/>
    <row r="865" ht="15.75" customHeight="1" s="215"/>
    <row r="866" ht="15.75" customHeight="1" s="215"/>
    <row r="867" ht="15.75" customHeight="1" s="215"/>
    <row r="868" ht="15.75" customHeight="1" s="215"/>
    <row r="869" ht="15.75" customHeight="1" s="215"/>
    <row r="870" ht="15.75" customHeight="1" s="215"/>
    <row r="871" ht="15.75" customHeight="1" s="215"/>
    <row r="872" ht="15.75" customHeight="1" s="215"/>
    <row r="873" ht="15.75" customHeight="1" s="215"/>
    <row r="874" ht="15.75" customHeight="1" s="215"/>
    <row r="875" ht="15.75" customHeight="1" s="215"/>
    <row r="876" ht="15.75" customHeight="1" s="215"/>
    <row r="877" ht="15.75" customHeight="1" s="215"/>
    <row r="878" ht="15.75" customHeight="1" s="215"/>
    <row r="879" ht="15.75" customHeight="1" s="215"/>
    <row r="880" ht="15.75" customHeight="1" s="215"/>
    <row r="881" ht="15.75" customHeight="1" s="215"/>
    <row r="882" ht="15.75" customHeight="1" s="215"/>
    <row r="883" ht="15.75" customHeight="1" s="215"/>
    <row r="884" ht="15.75" customHeight="1" s="215"/>
    <row r="885" ht="15.75" customHeight="1" s="215"/>
    <row r="886" ht="15.75" customHeight="1" s="215"/>
    <row r="887" ht="15.75" customHeight="1" s="215"/>
    <row r="888" ht="15.75" customHeight="1" s="215"/>
    <row r="889" ht="15.75" customHeight="1" s="215"/>
    <row r="890" ht="15.75" customHeight="1" s="215"/>
    <row r="891" ht="15.75" customHeight="1" s="215"/>
    <row r="892" ht="15.75" customHeight="1" s="215"/>
    <row r="893" ht="15.75" customHeight="1" s="215"/>
    <row r="894" ht="15.75" customHeight="1" s="215"/>
    <row r="895" ht="15.75" customHeight="1" s="215"/>
    <row r="896" ht="15.75" customHeight="1" s="215"/>
    <row r="897" ht="15.75" customHeight="1" s="215"/>
    <row r="898" ht="15.75" customHeight="1" s="215"/>
    <row r="899" ht="15.75" customHeight="1" s="215"/>
    <row r="900" ht="15.75" customHeight="1" s="215"/>
    <row r="901" ht="15.75" customHeight="1" s="215"/>
    <row r="902" ht="15.75" customHeight="1" s="215"/>
    <row r="903" ht="15.75" customHeight="1" s="215"/>
    <row r="904" ht="15.75" customHeight="1" s="215"/>
    <row r="905" ht="15.75" customHeight="1" s="215"/>
    <row r="906" ht="15.75" customHeight="1" s="215"/>
    <row r="907" ht="15.75" customHeight="1" s="215"/>
    <row r="908" ht="15.75" customHeight="1" s="215"/>
    <row r="909" ht="15.75" customHeight="1" s="215"/>
    <row r="910" ht="15.75" customHeight="1" s="215"/>
    <row r="911" ht="15.75" customHeight="1" s="215"/>
    <row r="912" ht="15.75" customHeight="1" s="215"/>
    <row r="913" ht="15.75" customHeight="1" s="215"/>
    <row r="914" ht="15.75" customHeight="1" s="215"/>
    <row r="915" ht="15.75" customHeight="1" s="215"/>
    <row r="916" ht="15.75" customHeight="1" s="215"/>
    <row r="917" ht="15.75" customHeight="1" s="215"/>
    <row r="918" ht="15.75" customHeight="1" s="215"/>
    <row r="919" ht="15.75" customHeight="1" s="215"/>
    <row r="920" ht="15.75" customHeight="1" s="215"/>
    <row r="921" ht="15.75" customHeight="1" s="215"/>
    <row r="922" ht="15.75" customHeight="1" s="215"/>
    <row r="923" ht="15.75" customHeight="1" s="215"/>
    <row r="924" ht="15.75" customHeight="1" s="215"/>
    <row r="925" ht="15.75" customHeight="1" s="215"/>
    <row r="926" ht="15.75" customHeight="1" s="215"/>
    <row r="927" ht="15.75" customHeight="1" s="215"/>
    <row r="928" ht="15.75" customHeight="1" s="215"/>
    <row r="929" ht="15.75" customHeight="1" s="215"/>
    <row r="930" ht="15.75" customHeight="1" s="215"/>
    <row r="931" ht="15.75" customHeight="1" s="215"/>
    <row r="932" ht="15.75" customHeight="1" s="215"/>
    <row r="933" ht="15.75" customHeight="1" s="215"/>
    <row r="934" ht="15.75" customHeight="1" s="215"/>
    <row r="935" ht="15.75" customHeight="1" s="215"/>
    <row r="936" ht="15.75" customHeight="1" s="215"/>
    <row r="937" ht="15.75" customHeight="1" s="215"/>
    <row r="938" ht="15.75" customHeight="1" s="215"/>
    <row r="939" ht="15.75" customHeight="1" s="215"/>
    <row r="940" ht="15.75" customHeight="1" s="215"/>
    <row r="941" ht="15.75" customHeight="1" s="215"/>
    <row r="942" ht="15.75" customHeight="1" s="215"/>
    <row r="943" ht="15.75" customHeight="1" s="215"/>
    <row r="944" ht="15.75" customHeight="1" s="215"/>
    <row r="945" ht="15.75" customHeight="1" s="215"/>
    <row r="946" ht="15.75" customHeight="1" s="215"/>
    <row r="947" ht="15.75" customHeight="1" s="215"/>
    <row r="948" ht="15.75" customHeight="1" s="215"/>
    <row r="949" ht="15.75" customHeight="1" s="215"/>
    <row r="950" ht="15.75" customHeight="1" s="215"/>
    <row r="951" ht="15.75" customHeight="1" s="215"/>
    <row r="952" ht="15.75" customHeight="1" s="215"/>
    <row r="953" ht="15.75" customHeight="1" s="215"/>
    <row r="954" ht="15.75" customHeight="1" s="215"/>
    <row r="955" ht="15.75" customHeight="1" s="215"/>
    <row r="956" ht="15.75" customHeight="1" s="215"/>
    <row r="957" ht="15.75" customHeight="1" s="215"/>
    <row r="958" ht="15.75" customHeight="1" s="215"/>
    <row r="959" ht="15.75" customHeight="1" s="215"/>
    <row r="960" ht="15.75" customHeight="1" s="215"/>
    <row r="961" ht="15.75" customHeight="1" s="215"/>
    <row r="962" ht="15.75" customHeight="1" s="215"/>
    <row r="963" ht="15.75" customHeight="1" s="215"/>
    <row r="964" ht="15.75" customHeight="1" s="215"/>
    <row r="965" ht="15.75" customHeight="1" s="215"/>
    <row r="966" ht="15.75" customHeight="1" s="215"/>
    <row r="967" ht="15.75" customHeight="1" s="215"/>
    <row r="968" ht="15.75" customHeight="1" s="215"/>
    <row r="969" ht="15.75" customHeight="1" s="215"/>
    <row r="970" ht="15.75" customHeight="1" s="215"/>
    <row r="971" ht="15.75" customHeight="1" s="215"/>
    <row r="972" ht="15.75" customHeight="1" s="215"/>
    <row r="973" ht="15.75" customHeight="1" s="215"/>
    <row r="974" ht="15.75" customHeight="1" s="215"/>
    <row r="975" ht="15.75" customHeight="1" s="215"/>
    <row r="976" ht="15.75" customHeight="1" s="215"/>
    <row r="977" ht="15.75" customHeight="1" s="215"/>
    <row r="978" ht="15.75" customHeight="1" s="215"/>
    <row r="979" ht="15.75" customHeight="1" s="215"/>
    <row r="980" ht="15.75" customHeight="1" s="215"/>
    <row r="981" ht="15.75" customHeight="1" s="215"/>
    <row r="982" ht="15.75" customHeight="1" s="215"/>
    <row r="983" ht="15.75" customHeight="1" s="215"/>
    <row r="984" ht="15.75" customHeight="1" s="215"/>
    <row r="985" ht="15.75" customHeight="1" s="215"/>
    <row r="986" ht="15.75" customHeight="1" s="215"/>
    <row r="987" ht="15.75" customHeight="1" s="215"/>
    <row r="988" ht="15.75" customHeight="1" s="215"/>
    <row r="989" ht="15.75" customHeight="1" s="215"/>
    <row r="990" ht="15.75" customHeight="1" s="215"/>
    <row r="991" ht="15.75" customHeight="1" s="215"/>
    <row r="992" ht="15.75" customHeight="1" s="215"/>
    <row r="993" ht="15.75" customHeight="1" s="215"/>
    <row r="994" ht="15.75" customHeight="1" s="215"/>
    <row r="995" ht="15.75" customHeight="1" s="215"/>
    <row r="996" ht="15.75" customHeight="1" s="215"/>
    <row r="997" ht="15.75" customHeight="1" s="215"/>
    <row r="998" ht="15.75" customHeight="1" s="215"/>
    <row r="999" ht="15.75" customHeight="1" s="215"/>
    <row r="1000" ht="15.75" customHeight="1" s="215"/>
  </sheetData>
  <mergeCells count="5">
    <mergeCell ref="H9:H10"/>
    <mergeCell ref="B7:C7"/>
    <mergeCell ref="B10:C10"/>
    <mergeCell ref="B2:H2"/>
    <mergeCell ref="E9:G9"/>
  </mergeCells>
  <pageMargins left="0.7" right="0.7" top="0.75" bottom="0.75" header="0" footer="0"/>
  <pageSetup orientation="portrait"/>
</worksheet>
</file>

<file path=xl/worksheets/sheet7.xml><?xml version="1.0" encoding="utf-8"?>
<worksheet xmlns="http://schemas.openxmlformats.org/spreadsheetml/2006/main">
  <sheetPr>
    <tabColor rgb="FFF4B083"/>
    <outlinePr summaryBelow="1" summaryRight="1"/>
    <pageSetUpPr/>
  </sheetPr>
  <dimension ref="A2:Z59"/>
  <sheetViews>
    <sheetView workbookViewId="0">
      <selection activeCell="A1" sqref="A1"/>
    </sheetView>
  </sheetViews>
  <sheetFormatPr baseColWidth="8" defaultColWidth="12.63" defaultRowHeight="15" customHeight="1"/>
  <cols>
    <col width="2.5" customWidth="1" style="215" min="1" max="1"/>
    <col width="5.25" customWidth="1" style="215" min="2" max="2"/>
    <col width="101.13" customWidth="1" style="215" min="3" max="3"/>
    <col width="3.75" customWidth="1" style="215" min="4" max="4"/>
    <col width="6.25" customWidth="1" style="215" min="5" max="7"/>
    <col width="75" customWidth="1" style="215" min="8" max="8"/>
    <col width="10" customWidth="1" style="215" min="9" max="9"/>
    <col width="24.25" customWidth="1" style="215" min="10" max="10"/>
    <col width="10" customWidth="1" style="215" min="11" max="26"/>
  </cols>
  <sheetData>
    <row r="2" ht="21.75" customHeight="1" s="215">
      <c r="B2" s="31" t="inlineStr">
        <is>
          <t>LISTADO DE REQUERIMIENTOS DEL SISTEMA IMPLEMENTACION DEL SOFTWARE DE RESERVAS PARA EVENTOS DE RESTAURANTES EN BUCARAMANGA (RESERVIFY)</t>
        </is>
      </c>
    </row>
    <row r="3" ht="15" customHeight="1" s="215">
      <c r="B3" s="32" t="n"/>
      <c r="C3" s="32" t="n"/>
    </row>
    <row r="4" ht="15.75" customHeight="1" s="215">
      <c r="B4" s="33" t="inlineStr">
        <is>
          <t>SI</t>
        </is>
      </c>
      <c r="C4" s="34" t="inlineStr">
        <is>
          <t>Marque con una equis (X) si el sistema cumple con la función descrita</t>
        </is>
      </c>
    </row>
    <row r="5" ht="15.75" customHeight="1" s="215">
      <c r="B5" s="33" t="inlineStr">
        <is>
          <t>NO</t>
        </is>
      </c>
      <c r="C5" s="34" t="inlineStr">
        <is>
          <t>Marque con una equis (X) si el sistema no cumple con la función descrita</t>
        </is>
      </c>
    </row>
    <row r="6" ht="15.75" customHeight="1" s="215">
      <c r="B6" s="33" t="inlineStr">
        <is>
          <t>ADI</t>
        </is>
      </c>
      <c r="C6" s="34" t="inlineStr">
        <is>
          <t>Marque con una equis (X) si el sistema debe adicionar la función descrita</t>
        </is>
      </c>
    </row>
    <row r="7" ht="15.75" customHeight="1" s="215">
      <c r="B7" s="35" t="inlineStr">
        <is>
          <t>Observaciones:Espacio para complementar respuestas</t>
        </is>
      </c>
    </row>
    <row r="8" ht="15.75" customHeight="1" s="215">
      <c r="B8" s="35" t="n"/>
      <c r="C8" s="35" t="n"/>
    </row>
    <row r="9" ht="15" customHeight="1" s="215">
      <c r="E9" s="44" t="inlineStr">
        <is>
          <t>Nivel de cumplimiento</t>
        </is>
      </c>
      <c r="F9" s="224" t="n"/>
      <c r="G9" s="225" t="n"/>
      <c r="H9" s="44" t="inlineStr">
        <is>
          <t>OBSERVACIONES</t>
        </is>
      </c>
    </row>
    <row r="10" ht="20.25" customHeight="1" s="215">
      <c r="B10" s="41" t="inlineStr">
        <is>
          <t>REQUISITOS FUNCIONALES ADMINISTRATIVOS</t>
        </is>
      </c>
      <c r="C10" s="226" t="n"/>
      <c r="D10" s="43" t="n"/>
      <c r="E10" s="44" t="inlineStr">
        <is>
          <t>SI</t>
        </is>
      </c>
      <c r="F10" s="45" t="inlineStr">
        <is>
          <t>ADI</t>
        </is>
      </c>
      <c r="G10" s="45" t="inlineStr">
        <is>
          <t>NO</t>
        </is>
      </c>
      <c r="H10" s="227" t="n"/>
      <c r="I10" s="47" t="n"/>
    </row>
    <row r="11">
      <c r="B11" s="48" t="n"/>
      <c r="C11" s="49" t="n"/>
      <c r="H11" s="76" t="n"/>
    </row>
    <row r="12" s="215">
      <c r="A12" s="115" t="n"/>
      <c r="B12" s="52" t="n">
        <v>1</v>
      </c>
      <c r="C12" s="235" t="inlineStr">
        <is>
          <t>GU-001 – Registro y autenticación de usuarios</t>
        </is>
      </c>
      <c r="D12" s="236" t="n"/>
      <c r="E12" s="74" t="inlineStr">
        <is>
          <t>x</t>
        </is>
      </c>
      <c r="F12" s="74" t="n"/>
      <c r="G12" s="74" t="n"/>
      <c r="H12" s="74" t="n"/>
      <c r="I12" s="100" t="n"/>
      <c r="J12" s="74" t="inlineStr">
        <is>
          <t>requerimientos total</t>
        </is>
      </c>
      <c r="K12" s="117">
        <f>COUNTA(C12:C59)</f>
        <v/>
      </c>
      <c r="L12" s="100" t="n"/>
      <c r="M12" s="100" t="n"/>
      <c r="N12" s="100" t="n"/>
      <c r="O12" s="100" t="n"/>
      <c r="P12" s="100" t="n"/>
      <c r="Q12" s="100" t="n"/>
      <c r="R12" s="100" t="n"/>
      <c r="S12" s="100" t="n"/>
      <c r="T12" s="100" t="n"/>
      <c r="U12" s="100" t="n"/>
      <c r="V12" s="100" t="n"/>
      <c r="W12" s="100" t="n"/>
      <c r="X12" s="100" t="n"/>
      <c r="Y12" s="100" t="n"/>
      <c r="Z12" s="100" t="n"/>
    </row>
    <row r="13" s="215">
      <c r="A13" s="115" t="n"/>
      <c r="B13" s="52" t="n">
        <v>2</v>
      </c>
      <c r="C13" s="235" t="inlineStr">
        <is>
          <t>GU-002 – Perfiles de usuario (cliente, dueño, administrador, empleado)</t>
        </is>
      </c>
      <c r="D13" s="236" t="n"/>
      <c r="E13" s="74" t="inlineStr">
        <is>
          <t>x</t>
        </is>
      </c>
      <c r="F13" s="74" t="n"/>
      <c r="G13" s="74" t="n"/>
      <c r="H13" s="74" t="n"/>
      <c r="I13" s="100" t="n"/>
      <c r="J13" s="74" t="inlineStr">
        <is>
          <t>requerimientos completados</t>
        </is>
      </c>
      <c r="K13" s="117">
        <f>COUNTA(E12:E59)</f>
        <v/>
      </c>
      <c r="L13" s="100" t="n"/>
      <c r="M13" s="100" t="n"/>
      <c r="N13" s="100" t="n"/>
      <c r="O13" s="100" t="n"/>
      <c r="P13" s="100" t="n"/>
      <c r="Q13" s="100" t="n"/>
      <c r="R13" s="100" t="n"/>
      <c r="S13" s="100" t="n"/>
      <c r="T13" s="100" t="n"/>
      <c r="U13" s="100" t="n"/>
      <c r="V13" s="100" t="n"/>
      <c r="W13" s="100" t="n"/>
      <c r="X13" s="100" t="n"/>
      <c r="Y13" s="100" t="n"/>
      <c r="Z13" s="100" t="n"/>
    </row>
    <row r="14" s="215">
      <c r="A14" s="115" t="n"/>
      <c r="B14" s="52" t="n">
        <v>3</v>
      </c>
      <c r="C14" s="235" t="inlineStr">
        <is>
          <t>GU-003 – Edición y consulta de perfil</t>
        </is>
      </c>
      <c r="D14" s="236" t="n"/>
      <c r="E14" s="74" t="inlineStr">
        <is>
          <t>x</t>
        </is>
      </c>
      <c r="F14" s="74" t="n"/>
      <c r="G14" s="74" t="n"/>
      <c r="H14" s="74" t="n"/>
      <c r="I14" s="100" t="n"/>
      <c r="J14" s="74" t="inlineStr">
        <is>
          <t>requerimientos sin completar</t>
        </is>
      </c>
      <c r="K14" s="117">
        <f>K12 - K13</f>
        <v/>
      </c>
      <c r="L14" s="100" t="n"/>
      <c r="M14" s="100" t="n"/>
      <c r="N14" s="100" t="n"/>
      <c r="O14" s="100" t="n"/>
      <c r="P14" s="100" t="n"/>
      <c r="Q14" s="100" t="n"/>
      <c r="R14" s="100" t="n"/>
      <c r="S14" s="100" t="n"/>
      <c r="T14" s="100" t="n"/>
      <c r="U14" s="100" t="n"/>
      <c r="V14" s="100" t="n"/>
      <c r="W14" s="100" t="n"/>
      <c r="X14" s="100" t="n"/>
      <c r="Y14" s="100" t="n"/>
      <c r="Z14" s="100" t="n"/>
    </row>
    <row r="15" s="215">
      <c r="A15" s="115" t="n"/>
      <c r="B15" s="52" t="n">
        <v>4</v>
      </c>
      <c r="C15" s="235" t="inlineStr">
        <is>
          <t>GU-004 – Gestión de personal del restaurante</t>
        </is>
      </c>
      <c r="D15" s="236" t="n"/>
      <c r="E15" s="74" t="inlineStr">
        <is>
          <t>x</t>
        </is>
      </c>
      <c r="F15" s="74" t="n"/>
      <c r="G15" s="74" t="n"/>
      <c r="H15" s="74" t="n"/>
      <c r="I15" s="100" t="n"/>
      <c r="J15" s="74" t="inlineStr">
        <is>
          <t>porcentaje</t>
        </is>
      </c>
      <c r="K15" s="117">
        <f>TEXT((K13/K12)*100,"0,00") &amp; "%"</f>
        <v/>
      </c>
      <c r="L15" s="100" t="n"/>
      <c r="M15" s="100" t="n"/>
      <c r="N15" s="100" t="n"/>
      <c r="O15" s="100" t="n"/>
      <c r="P15" s="100" t="n"/>
      <c r="Q15" s="100" t="n"/>
      <c r="R15" s="100" t="n"/>
      <c r="S15" s="100" t="n"/>
      <c r="T15" s="100" t="n"/>
      <c r="U15" s="100" t="n"/>
      <c r="V15" s="100" t="n"/>
      <c r="W15" s="100" t="n"/>
      <c r="X15" s="100" t="n"/>
      <c r="Y15" s="100" t="n"/>
      <c r="Z15" s="100" t="n"/>
    </row>
    <row r="16" ht="24.75" customHeight="1" s="215">
      <c r="A16" s="115" t="n"/>
      <c r="B16" s="52" t="n">
        <v>5</v>
      </c>
      <c r="C16" s="235" t="inlineStr">
        <is>
          <t>GU-005 – Control de acceso por rol en el backend</t>
        </is>
      </c>
      <c r="D16" s="236" t="n"/>
      <c r="E16" s="74" t="inlineStr">
        <is>
          <t>x</t>
        </is>
      </c>
      <c r="F16" s="74" t="n"/>
      <c r="G16" s="74" t="n"/>
      <c r="H16" s="74" t="n"/>
      <c r="I16" s="100" t="n"/>
      <c r="J16" s="74" t="n"/>
      <c r="K16" s="117" t="n"/>
      <c r="L16" s="100" t="n"/>
      <c r="M16" s="100" t="n"/>
      <c r="N16" s="100" t="n"/>
      <c r="O16" s="100" t="n"/>
      <c r="P16" s="100" t="n"/>
      <c r="Q16" s="100" t="n"/>
      <c r="R16" s="100" t="n"/>
      <c r="S16" s="100" t="n"/>
      <c r="T16" s="100" t="n"/>
      <c r="U16" s="100" t="n"/>
      <c r="V16" s="100" t="n"/>
      <c r="W16" s="100" t="n"/>
      <c r="X16" s="100" t="n"/>
      <c r="Y16" s="100" t="n"/>
      <c r="Z16" s="100" t="n"/>
    </row>
    <row r="17" ht="18.75" customHeight="1" s="215">
      <c r="A17" s="115" t="n"/>
      <c r="B17" s="52" t="n">
        <v>6</v>
      </c>
      <c r="C17" s="235" t="inlineStr">
        <is>
          <t>GU-006 – Auditoría de cambios en usuarios y credenciales</t>
        </is>
      </c>
      <c r="D17" s="236" t="n"/>
      <c r="E17" s="74" t="inlineStr">
        <is>
          <t>x</t>
        </is>
      </c>
      <c r="F17" s="74" t="n"/>
      <c r="G17" s="74" t="n"/>
      <c r="H17" s="74" t="n"/>
      <c r="I17" s="100" t="n"/>
      <c r="J17" s="74" t="n"/>
      <c r="K17" s="117" t="n"/>
      <c r="L17" s="100" t="n"/>
      <c r="M17" s="100" t="n"/>
      <c r="N17" s="100" t="n"/>
      <c r="O17" s="100" t="n"/>
      <c r="P17" s="100" t="n"/>
      <c r="Q17" s="100" t="n"/>
      <c r="R17" s="100" t="n"/>
      <c r="S17" s="100" t="n"/>
      <c r="T17" s="100" t="n"/>
      <c r="U17" s="100" t="n"/>
      <c r="V17" s="100" t="n"/>
      <c r="W17" s="100" t="n"/>
      <c r="X17" s="100" t="n"/>
      <c r="Y17" s="100" t="n"/>
      <c r="Z17" s="100" t="n"/>
    </row>
    <row r="18" s="215">
      <c r="A18" s="115" t="n"/>
      <c r="B18" s="52" t="n">
        <v>7</v>
      </c>
      <c r="C18" s="235" t="inlineStr">
        <is>
          <t>GU-007 – Paneles diferenciados según rol (dueño, administrador, empleado); cliente sin dashboard dedicado</t>
        </is>
      </c>
      <c r="D18" s="236" t="n"/>
      <c r="E18" s="74" t="inlineStr">
        <is>
          <t>x</t>
        </is>
      </c>
      <c r="F18" s="74" t="n"/>
      <c r="G18" s="74" t="n"/>
      <c r="H18" s="74" t="n"/>
      <c r="I18" s="100" t="n"/>
      <c r="J18" s="74" t="n"/>
      <c r="K18" s="117" t="n"/>
      <c r="L18" s="100" t="n"/>
      <c r="M18" s="100" t="n"/>
      <c r="N18" s="100" t="n"/>
      <c r="O18" s="100" t="n"/>
      <c r="P18" s="100" t="n"/>
      <c r="Q18" s="100" t="n"/>
      <c r="R18" s="100" t="n"/>
      <c r="S18" s="100" t="n"/>
      <c r="T18" s="100" t="n"/>
      <c r="U18" s="100" t="n"/>
      <c r="V18" s="100" t="n"/>
      <c r="W18" s="100" t="n"/>
      <c r="X18" s="100" t="n"/>
      <c r="Y18" s="100" t="n"/>
      <c r="Z18" s="100" t="n"/>
    </row>
    <row r="19" ht="18.75" customHeight="1" s="215">
      <c r="A19" s="115" t="n"/>
      <c r="B19" s="52" t="n">
        <v>8</v>
      </c>
      <c r="C19" s="235" t="inlineStr">
        <is>
          <t>GU-008 – Edición de datos personales del cliente desde ProfileModal</t>
        </is>
      </c>
      <c r="D19" s="236" t="n"/>
      <c r="E19" s="74" t="inlineStr">
        <is>
          <t>x</t>
        </is>
      </c>
      <c r="F19" s="74" t="n"/>
      <c r="G19" s="74" t="n"/>
      <c r="H19" s="74" t="n"/>
      <c r="I19" s="100" t="n"/>
      <c r="J19" s="74" t="n"/>
      <c r="K19" s="117" t="n"/>
      <c r="L19" s="100" t="n"/>
      <c r="M19" s="100" t="n"/>
      <c r="N19" s="100" t="n"/>
      <c r="O19" s="100" t="n"/>
      <c r="P19" s="100" t="n"/>
      <c r="Q19" s="100" t="n"/>
      <c r="R19" s="100" t="n"/>
      <c r="S19" s="100" t="n"/>
      <c r="T19" s="100" t="n"/>
      <c r="U19" s="100" t="n"/>
      <c r="V19" s="100" t="n"/>
      <c r="W19" s="100" t="n"/>
      <c r="X19" s="100" t="n"/>
      <c r="Y19" s="100" t="n"/>
      <c r="Z19" s="100" t="n"/>
    </row>
    <row r="20" ht="18.75" customHeight="1" s="215">
      <c r="A20" s="115" t="n"/>
      <c r="B20" s="52" t="n">
        <v>9</v>
      </c>
      <c r="C20" s="235" t="inlineStr">
        <is>
          <t>GU-009 – Gestión interactiva de empleados y administradores por parte del dueño</t>
        </is>
      </c>
      <c r="D20" s="236" t="n"/>
      <c r="E20" s="74" t="inlineStr">
        <is>
          <t>x</t>
        </is>
      </c>
      <c r="F20" s="74" t="n"/>
      <c r="G20" s="74" t="n"/>
      <c r="H20" s="74" t="n"/>
      <c r="I20" s="100" t="n"/>
      <c r="J20" s="74" t="n"/>
      <c r="K20" s="117" t="n"/>
      <c r="L20" s="100" t="n"/>
      <c r="M20" s="100" t="n"/>
      <c r="N20" s="100" t="n"/>
      <c r="O20" s="100" t="n"/>
      <c r="P20" s="100" t="n"/>
      <c r="Q20" s="100" t="n"/>
      <c r="R20" s="100" t="n"/>
      <c r="S20" s="100" t="n"/>
      <c r="T20" s="100" t="n"/>
      <c r="U20" s="100" t="n"/>
      <c r="V20" s="100" t="n"/>
      <c r="W20" s="100" t="n"/>
      <c r="X20" s="100" t="n"/>
      <c r="Y20" s="100" t="n"/>
      <c r="Z20" s="100" t="n"/>
    </row>
    <row r="21" ht="18.75" customHeight="1" s="215">
      <c r="A21" s="115" t="n"/>
      <c r="B21" s="52" t="n">
        <v>10</v>
      </c>
      <c r="C21" s="235" t="inlineStr">
        <is>
          <t>GU-001A – Almacenamiento de contraseñas con hash seguro (bcrypt), no en texto plano</t>
        </is>
      </c>
      <c r="D21" s="236" t="n"/>
      <c r="E21" s="74" t="inlineStr">
        <is>
          <t>x</t>
        </is>
      </c>
      <c r="F21" s="74" t="n"/>
      <c r="G21" s="74" t="n"/>
      <c r="H21" s="74" t="n"/>
      <c r="I21" s="100" t="n"/>
      <c r="J21" s="74" t="n"/>
      <c r="K21" s="117" t="n"/>
      <c r="L21" s="100" t="n"/>
      <c r="M21" s="100" t="n"/>
      <c r="N21" s="100" t="n"/>
      <c r="O21" s="100" t="n"/>
      <c r="P21" s="100" t="n"/>
      <c r="Q21" s="100" t="n"/>
      <c r="R21" s="100" t="n"/>
      <c r="S21" s="100" t="n"/>
      <c r="T21" s="100" t="n"/>
      <c r="U21" s="100" t="n"/>
      <c r="V21" s="100" t="n"/>
      <c r="W21" s="100" t="n"/>
      <c r="X21" s="100" t="n"/>
      <c r="Y21" s="100" t="n"/>
      <c r="Z21" s="100" t="n"/>
    </row>
    <row r="22" ht="15.75" customHeight="1" s="215">
      <c r="A22" s="115" t="n"/>
      <c r="B22" s="52" t="n">
        <v>11</v>
      </c>
      <c r="C22" s="235" t="inlineStr">
        <is>
          <t>GU-002A – Asociación estricta de cada usuario a un rol único</t>
        </is>
      </c>
      <c r="D22" s="236" t="n"/>
      <c r="E22" s="74" t="inlineStr">
        <is>
          <t>x</t>
        </is>
      </c>
      <c r="F22" s="74" t="n"/>
      <c r="G22" s="74" t="n"/>
      <c r="H22" s="74" t="n"/>
      <c r="I22" s="100" t="n"/>
      <c r="J22" s="74" t="n"/>
      <c r="K22" s="117" t="n"/>
      <c r="L22" s="100" t="n"/>
      <c r="M22" s="100" t="n"/>
      <c r="N22" s="100" t="n"/>
      <c r="O22" s="100" t="n"/>
      <c r="P22" s="100" t="n"/>
      <c r="Q22" s="100" t="n"/>
      <c r="R22" s="100" t="n"/>
      <c r="S22" s="100" t="n"/>
      <c r="T22" s="100" t="n"/>
      <c r="U22" s="100" t="n"/>
      <c r="V22" s="100" t="n"/>
      <c r="W22" s="100" t="n"/>
      <c r="X22" s="100" t="n"/>
      <c r="Y22" s="100" t="n"/>
      <c r="Z22" s="100" t="n"/>
    </row>
    <row r="23" ht="18.75" customHeight="1" s="215">
      <c r="A23" s="115" t="n"/>
      <c r="B23" s="52" t="n">
        <v>12</v>
      </c>
      <c r="C23" s="235" t="inlineStr">
        <is>
          <t>GU-003A – Consulta del perfil del cliente autenticado desde el frontend</t>
        </is>
      </c>
      <c r="D23" s="236" t="n"/>
      <c r="E23" s="74" t="inlineStr">
        <is>
          <t>x</t>
        </is>
      </c>
      <c r="F23" s="74" t="n"/>
      <c r="G23" s="74" t="n"/>
      <c r="H23" s="74" t="n"/>
      <c r="I23" s="100" t="n"/>
      <c r="J23" s="74" t="n"/>
      <c r="K23" s="117" t="n"/>
      <c r="L23" s="100" t="n"/>
      <c r="M23" s="100" t="n"/>
      <c r="N23" s="100" t="n"/>
      <c r="O23" s="100" t="n"/>
      <c r="P23" s="100" t="n"/>
      <c r="Q23" s="100" t="n"/>
      <c r="R23" s="100" t="n"/>
      <c r="S23" s="100" t="n"/>
      <c r="T23" s="100" t="n"/>
      <c r="U23" s="100" t="n"/>
      <c r="V23" s="100" t="n"/>
      <c r="W23" s="100" t="n"/>
      <c r="X23" s="100" t="n"/>
      <c r="Y23" s="100" t="n"/>
      <c r="Z23" s="100" t="n"/>
    </row>
    <row r="24" ht="15.75" customHeight="1" s="215">
      <c r="A24" s="115" t="n"/>
      <c r="B24" s="52" t="n">
        <v>13</v>
      </c>
      <c r="C24" s="235" t="inlineStr">
        <is>
          <t>GU-004A – Vinculación de empleados a un restaurante específico por NIT</t>
        </is>
      </c>
      <c r="D24" s="236" t="n"/>
      <c r="E24" s="74" t="inlineStr">
        <is>
          <t>x</t>
        </is>
      </c>
      <c r="F24" s="74" t="n"/>
      <c r="G24" s="74" t="n"/>
      <c r="H24" s="74" t="n"/>
      <c r="I24" s="100" t="n"/>
      <c r="J24" s="74" t="n"/>
      <c r="K24" s="117" t="n"/>
      <c r="L24" s="100" t="n"/>
      <c r="M24" s="100" t="n"/>
      <c r="N24" s="100" t="n"/>
      <c r="O24" s="100" t="n"/>
      <c r="P24" s="100" t="n"/>
      <c r="Q24" s="100" t="n"/>
      <c r="R24" s="100" t="n"/>
      <c r="S24" s="100" t="n"/>
      <c r="T24" s="100" t="n"/>
      <c r="U24" s="100" t="n"/>
      <c r="V24" s="100" t="n"/>
      <c r="W24" s="100" t="n"/>
      <c r="X24" s="100" t="n"/>
      <c r="Y24" s="100" t="n"/>
      <c r="Z24" s="100" t="n"/>
    </row>
    <row r="25" ht="15.75" customHeight="1" s="215">
      <c r="A25" s="115" t="n"/>
      <c r="B25" s="52" t="n">
        <v>14</v>
      </c>
      <c r="C25" s="235" t="inlineStr">
        <is>
          <t>GU-010 – Campo perfil: nombre editable</t>
        </is>
      </c>
      <c r="D25" s="236" t="n"/>
      <c r="E25" s="74" t="inlineStr">
        <is>
          <t>x</t>
        </is>
      </c>
      <c r="F25" s="74" t="n"/>
      <c r="G25" s="74" t="n"/>
      <c r="H25" s="74" t="n"/>
      <c r="I25" s="100" t="n"/>
      <c r="J25" s="74" t="n"/>
      <c r="K25" s="117" t="n"/>
      <c r="L25" s="100" t="n"/>
      <c r="M25" s="100" t="n"/>
      <c r="N25" s="100" t="n"/>
      <c r="O25" s="100" t="n"/>
      <c r="P25" s="100" t="n"/>
      <c r="Q25" s="100" t="n"/>
      <c r="R25" s="100" t="n"/>
      <c r="S25" s="100" t="n"/>
      <c r="T25" s="100" t="n"/>
      <c r="U25" s="100" t="n"/>
      <c r="V25" s="100" t="n"/>
      <c r="W25" s="100" t="n"/>
      <c r="X25" s="100" t="n"/>
      <c r="Y25" s="100" t="n"/>
      <c r="Z25" s="100" t="n"/>
    </row>
    <row r="26" ht="15.75" customHeight="1" s="215">
      <c r="A26" s="115" t="n"/>
      <c r="B26" s="52" t="n">
        <v>15</v>
      </c>
      <c r="C26" s="235" t="inlineStr">
        <is>
          <t>GU-011 – Campo perfil: apellido editable</t>
        </is>
      </c>
      <c r="D26" s="236" t="n"/>
      <c r="E26" s="74" t="inlineStr">
        <is>
          <t>x</t>
        </is>
      </c>
      <c r="F26" s="74" t="n"/>
      <c r="G26" s="74" t="n"/>
      <c r="H26" s="74" t="n"/>
      <c r="I26" s="100" t="n"/>
      <c r="J26" s="74" t="n"/>
      <c r="K26" s="117" t="n"/>
      <c r="L26" s="100" t="n"/>
      <c r="M26" s="100" t="n"/>
      <c r="N26" s="100" t="n"/>
      <c r="O26" s="100" t="n"/>
      <c r="P26" s="100" t="n"/>
      <c r="Q26" s="100" t="n"/>
      <c r="R26" s="100" t="n"/>
      <c r="S26" s="100" t="n"/>
      <c r="T26" s="100" t="n"/>
      <c r="U26" s="100" t="n"/>
      <c r="V26" s="100" t="n"/>
      <c r="W26" s="100" t="n"/>
      <c r="X26" s="100" t="n"/>
      <c r="Y26" s="100" t="n"/>
      <c r="Z26" s="100" t="n"/>
    </row>
    <row r="27" ht="15.75" customHeight="1" s="215">
      <c r="A27" s="115" t="n"/>
      <c r="B27" s="52" t="n">
        <v>16</v>
      </c>
      <c r="C27" s="235" t="inlineStr">
        <is>
          <t>GU-012 – Campo perfil: tipo_documento editable</t>
        </is>
      </c>
      <c r="D27" s="236" t="n"/>
      <c r="E27" s="74" t="n"/>
      <c r="F27" s="74" t="inlineStr">
        <is>
          <t>x</t>
        </is>
      </c>
      <c r="G27" s="74" t="n"/>
      <c r="H27" s="74" t="inlineStr">
        <is>
          <t>Parcial (API disponible; no expuesto en ProfileModal).</t>
        </is>
      </c>
      <c r="I27" s="100" t="n"/>
      <c r="J27" s="74" t="n"/>
      <c r="K27" s="117" t="n"/>
      <c r="L27" s="100" t="n"/>
      <c r="M27" s="100" t="n"/>
      <c r="N27" s="100" t="n"/>
      <c r="O27" s="100" t="n"/>
      <c r="P27" s="100" t="n"/>
      <c r="Q27" s="100" t="n"/>
      <c r="R27" s="100" t="n"/>
      <c r="S27" s="100" t="n"/>
      <c r="T27" s="100" t="n"/>
      <c r="U27" s="100" t="n"/>
      <c r="V27" s="100" t="n"/>
      <c r="W27" s="100" t="n"/>
      <c r="X27" s="100" t="n"/>
      <c r="Y27" s="100" t="n"/>
      <c r="Z27" s="100" t="n"/>
    </row>
    <row r="28" ht="15.75" customHeight="1" s="215">
      <c r="A28" s="115" t="n"/>
      <c r="B28" s="52" t="n">
        <v>17</v>
      </c>
      <c r="C28" s="235" t="inlineStr">
        <is>
          <t>GU-013 – Campo perfil: documento editable</t>
        </is>
      </c>
      <c r="D28" s="236" t="n"/>
      <c r="E28" s="74" t="n"/>
      <c r="F28" s="74" t="inlineStr">
        <is>
          <t>x</t>
        </is>
      </c>
      <c r="G28" s="74" t="n"/>
      <c r="H28" s="74" t="inlineStr">
        <is>
          <t>Parcial (API disponible; no expuesto en ProfileModal).</t>
        </is>
      </c>
      <c r="I28" s="100" t="n"/>
      <c r="J28" s="74" t="n"/>
      <c r="K28" s="117" t="n"/>
      <c r="L28" s="100" t="n"/>
      <c r="M28" s="100" t="n"/>
      <c r="N28" s="100" t="n"/>
      <c r="O28" s="100" t="n"/>
      <c r="P28" s="100" t="n"/>
      <c r="Q28" s="100" t="n"/>
      <c r="R28" s="100" t="n"/>
      <c r="S28" s="100" t="n"/>
      <c r="T28" s="100" t="n"/>
      <c r="U28" s="100" t="n"/>
      <c r="V28" s="100" t="n"/>
      <c r="W28" s="100" t="n"/>
      <c r="X28" s="100" t="n"/>
      <c r="Y28" s="100" t="n"/>
      <c r="Z28" s="100" t="n"/>
    </row>
    <row r="29" ht="15.75" customHeight="1" s="215">
      <c r="A29" s="115" t="n"/>
      <c r="B29" s="52" t="n">
        <v>18</v>
      </c>
      <c r="C29" s="235" t="inlineStr">
        <is>
          <t>GU-014 – Campo perfil: nacionalidad editable</t>
        </is>
      </c>
      <c r="D29" s="236" t="n"/>
      <c r="E29" s="74" t="n"/>
      <c r="F29" s="74" t="inlineStr">
        <is>
          <t>x</t>
        </is>
      </c>
      <c r="G29" s="74" t="n"/>
      <c r="H29" s="74" t="inlineStr">
        <is>
          <t>Parcial (API disponible; no expuesto en ProfileModal).</t>
        </is>
      </c>
      <c r="I29" s="100" t="n"/>
      <c r="J29" s="74" t="n"/>
      <c r="K29" s="117" t="n"/>
      <c r="L29" s="100" t="n"/>
      <c r="M29" s="100" t="n"/>
      <c r="N29" s="100" t="n"/>
      <c r="O29" s="100" t="n"/>
      <c r="P29" s="100" t="n"/>
      <c r="Q29" s="100" t="n"/>
      <c r="R29" s="100" t="n"/>
      <c r="S29" s="100" t="n"/>
      <c r="T29" s="100" t="n"/>
      <c r="U29" s="100" t="n"/>
      <c r="V29" s="100" t="n"/>
      <c r="W29" s="100" t="n"/>
      <c r="X29" s="100" t="n"/>
      <c r="Y29" s="100" t="n"/>
      <c r="Z29" s="100" t="n"/>
    </row>
    <row r="30" ht="15.75" customHeight="1" s="215">
      <c r="A30" s="115" t="n"/>
      <c r="B30" s="52" t="n">
        <v>19</v>
      </c>
      <c r="C30" s="235" t="inlineStr">
        <is>
          <t>GU-015 – Campo perfil: telefono editable</t>
        </is>
      </c>
      <c r="D30" s="236" t="n"/>
      <c r="E30" s="74" t="n"/>
      <c r="F30" s="74" t="inlineStr">
        <is>
          <t>x</t>
        </is>
      </c>
      <c r="G30" s="74" t="n"/>
      <c r="H30" s="74" t="inlineStr">
        <is>
          <t>Parcial (API disponible; no expuesto en ProfileModal).</t>
        </is>
      </c>
      <c r="I30" s="100" t="n"/>
      <c r="J30" s="74" t="n"/>
      <c r="K30" s="117" t="n"/>
      <c r="L30" s="100" t="n"/>
      <c r="M30" s="100" t="n"/>
      <c r="N30" s="100" t="n"/>
      <c r="O30" s="100" t="n"/>
      <c r="P30" s="100" t="n"/>
      <c r="Q30" s="100" t="n"/>
      <c r="R30" s="100" t="n"/>
      <c r="S30" s="100" t="n"/>
      <c r="T30" s="100" t="n"/>
      <c r="U30" s="100" t="n"/>
      <c r="V30" s="100" t="n"/>
      <c r="W30" s="100" t="n"/>
      <c r="X30" s="100" t="n"/>
      <c r="Y30" s="100" t="n"/>
      <c r="Z30" s="100" t="n"/>
    </row>
    <row r="31" ht="15.75" customHeight="1" s="215">
      <c r="A31" s="115" t="n"/>
      <c r="B31" s="52" t="n">
        <v>20</v>
      </c>
      <c r="C31" s="235" t="inlineStr">
        <is>
          <t>GU-016 – Rol cliente: capacidad de ver mis reservas</t>
        </is>
      </c>
      <c r="D31" s="236" t="n"/>
      <c r="E31" s="74" t="inlineStr">
        <is>
          <t>x</t>
        </is>
      </c>
      <c r="F31" s="74" t="n"/>
      <c r="G31" s="74" t="n"/>
      <c r="H31" s="74" t="n"/>
      <c r="I31" s="100" t="n"/>
      <c r="J31" s="74" t="n"/>
      <c r="K31" s="117" t="n"/>
      <c r="L31" s="100" t="n"/>
      <c r="M31" s="100" t="n"/>
      <c r="N31" s="100" t="n"/>
      <c r="O31" s="100" t="n"/>
      <c r="P31" s="100" t="n"/>
      <c r="Q31" s="100" t="n"/>
      <c r="R31" s="100" t="n"/>
      <c r="S31" s="100" t="n"/>
      <c r="T31" s="100" t="n"/>
      <c r="U31" s="100" t="n"/>
      <c r="V31" s="100" t="n"/>
      <c r="W31" s="100" t="n"/>
      <c r="X31" s="100" t="n"/>
      <c r="Y31" s="100" t="n"/>
      <c r="Z31" s="100" t="n"/>
    </row>
    <row r="32" ht="15.75" customHeight="1" s="215">
      <c r="A32" s="115" t="n"/>
      <c r="B32" s="52" t="n">
        <v>21</v>
      </c>
      <c r="C32" s="235" t="inlineStr">
        <is>
          <t>GU-017 – Rol cliente: capacidad de cancelar reserva con motivo</t>
        </is>
      </c>
      <c r="D32" s="236" t="n"/>
      <c r="E32" s="74" t="inlineStr">
        <is>
          <t>x</t>
        </is>
      </c>
      <c r="F32" s="74" t="n"/>
      <c r="G32" s="74" t="n"/>
      <c r="H32" s="74" t="n"/>
      <c r="I32" s="100" t="n"/>
      <c r="J32" s="74" t="n"/>
      <c r="K32" s="117" t="n"/>
      <c r="L32" s="100" t="n"/>
      <c r="M32" s="100" t="n"/>
      <c r="N32" s="100" t="n"/>
      <c r="O32" s="100" t="n"/>
      <c r="P32" s="100" t="n"/>
      <c r="Q32" s="100" t="n"/>
      <c r="R32" s="100" t="n"/>
      <c r="S32" s="100" t="n"/>
      <c r="T32" s="100" t="n"/>
      <c r="U32" s="100" t="n"/>
      <c r="V32" s="100" t="n"/>
      <c r="W32" s="100" t="n"/>
      <c r="X32" s="100" t="n"/>
      <c r="Y32" s="100" t="n"/>
      <c r="Z32" s="100" t="n"/>
    </row>
    <row r="33" ht="15.75" customHeight="1" s="215">
      <c r="A33" s="115" t="n"/>
      <c r="B33" s="52" t="n">
        <v>22</v>
      </c>
      <c r="C33" s="235" t="inlineStr">
        <is>
          <t>GU-018 – Rol dueño: acceso a dashboard con restaurantes, reservas, facturas, empleados</t>
        </is>
      </c>
      <c r="D33" s="236" t="n"/>
      <c r="E33" s="74" t="inlineStr">
        <is>
          <t>x</t>
        </is>
      </c>
      <c r="F33" s="74" t="n"/>
      <c r="G33" s="74" t="n"/>
      <c r="H33" s="74" t="n"/>
      <c r="I33" s="100" t="n"/>
      <c r="J33" s="74" t="n"/>
      <c r="K33" s="117" t="n"/>
      <c r="L33" s="100" t="n"/>
      <c r="M33" s="100" t="n"/>
      <c r="N33" s="100" t="n"/>
      <c r="O33" s="100" t="n"/>
      <c r="P33" s="100" t="n"/>
      <c r="Q33" s="100" t="n"/>
      <c r="R33" s="100" t="n"/>
      <c r="S33" s="100" t="n"/>
      <c r="T33" s="100" t="n"/>
      <c r="U33" s="100" t="n"/>
      <c r="V33" s="100" t="n"/>
      <c r="W33" s="100" t="n"/>
      <c r="X33" s="100" t="n"/>
      <c r="Y33" s="100" t="n"/>
      <c r="Z33" s="100" t="n"/>
    </row>
    <row r="34" ht="15.75" customHeight="1" s="215">
      <c r="A34" s="115" t="n"/>
      <c r="B34" s="52" t="n">
        <v>23</v>
      </c>
      <c r="C34" s="235" t="inlineStr">
        <is>
          <t>GU-019 – Rol administrador: acceso a AdminDashboard centrado en un restaurante</t>
        </is>
      </c>
      <c r="D34" s="236" t="n"/>
      <c r="E34" s="74" t="inlineStr">
        <is>
          <t>x</t>
        </is>
      </c>
      <c r="F34" s="74" t="n"/>
      <c r="G34" s="74" t="n"/>
      <c r="H34" s="74" t="n"/>
      <c r="I34" s="100" t="n"/>
      <c r="J34" s="74" t="n"/>
      <c r="K34" s="117" t="n"/>
      <c r="L34" s="100" t="n"/>
      <c r="M34" s="100" t="n"/>
      <c r="N34" s="100" t="n"/>
      <c r="O34" s="100" t="n"/>
      <c r="P34" s="100" t="n"/>
      <c r="Q34" s="100" t="n"/>
      <c r="R34" s="100" t="n"/>
      <c r="S34" s="100" t="n"/>
      <c r="T34" s="100" t="n"/>
      <c r="U34" s="100" t="n"/>
      <c r="V34" s="100" t="n"/>
      <c r="W34" s="100" t="n"/>
      <c r="X34" s="100" t="n"/>
      <c r="Y34" s="100" t="n"/>
      <c r="Z34" s="100" t="n"/>
    </row>
    <row r="35" ht="15.75" customHeight="1" s="215">
      <c r="A35" s="115" t="n"/>
      <c r="B35" s="52" t="n">
        <v>24</v>
      </c>
      <c r="C35" s="235" t="inlineStr">
        <is>
          <t>GU-020 – Rol empleado: acceso a EmployeeDashboard con reservas del día</t>
        </is>
      </c>
      <c r="D35" s="236" t="n"/>
      <c r="E35" s="74" t="inlineStr">
        <is>
          <t>x</t>
        </is>
      </c>
      <c r="F35" s="74" t="n"/>
      <c r="G35" s="74" t="n"/>
      <c r="H35" s="74" t="n"/>
      <c r="I35" s="100" t="n"/>
      <c r="J35" s="74" t="n"/>
      <c r="K35" s="117" t="n"/>
      <c r="L35" s="100" t="n"/>
      <c r="M35" s="100" t="n"/>
      <c r="N35" s="100" t="n"/>
      <c r="O35" s="100" t="n"/>
      <c r="P35" s="100" t="n"/>
      <c r="Q35" s="100" t="n"/>
      <c r="R35" s="100" t="n"/>
      <c r="S35" s="100" t="n"/>
      <c r="T35" s="100" t="n"/>
      <c r="U35" s="100" t="n"/>
      <c r="V35" s="100" t="n"/>
      <c r="W35" s="100" t="n"/>
      <c r="X35" s="100" t="n"/>
      <c r="Y35" s="100" t="n"/>
      <c r="Z35" s="100" t="n"/>
    </row>
    <row r="36" ht="15.75" customHeight="1" s="215">
      <c r="A36" s="115" t="n"/>
      <c r="B36" s="52" t="n">
        <v>25</v>
      </c>
      <c r="C36" s="235" t="inlineStr">
        <is>
          <t>GU-021 – Endpoint GET /cliente/mi-perfil</t>
        </is>
      </c>
      <c r="D36" s="236" t="n"/>
      <c r="E36" s="74" t="inlineStr">
        <is>
          <t>x</t>
        </is>
      </c>
      <c r="F36" s="74" t="n"/>
      <c r="G36" s="74" t="n"/>
      <c r="H36" s="74" t="n"/>
      <c r="I36" s="100" t="n"/>
      <c r="J36" s="74" t="n"/>
      <c r="K36" s="117" t="n"/>
      <c r="L36" s="100" t="n"/>
      <c r="M36" s="100" t="n"/>
      <c r="N36" s="100" t="n"/>
      <c r="O36" s="100" t="n"/>
      <c r="P36" s="100" t="n"/>
      <c r="Q36" s="100" t="n"/>
      <c r="R36" s="100" t="n"/>
      <c r="S36" s="100" t="n"/>
      <c r="T36" s="100" t="n"/>
      <c r="U36" s="100" t="n"/>
      <c r="V36" s="100" t="n"/>
      <c r="W36" s="100" t="n"/>
      <c r="X36" s="100" t="n"/>
      <c r="Y36" s="100" t="n"/>
      <c r="Z36" s="100" t="n"/>
    </row>
    <row r="37" ht="15.75" customHeight="1" s="215">
      <c r="A37" s="115" t="n"/>
      <c r="B37" s="52" t="n">
        <v>26</v>
      </c>
      <c r="C37" s="235" t="inlineStr">
        <is>
          <t>GU-022 – Endpoint POST /data-owner/restaurantes/{restaurante_uid}/crear-empleado</t>
        </is>
      </c>
      <c r="D37" s="236" t="n"/>
      <c r="E37" s="74" t="inlineStr">
        <is>
          <t>x</t>
        </is>
      </c>
      <c r="F37" s="74" t="n"/>
      <c r="G37" s="74" t="n"/>
      <c r="H37" s="74" t="n"/>
      <c r="I37" s="100" t="n"/>
      <c r="J37" s="74" t="n"/>
      <c r="K37" s="117" t="n"/>
      <c r="L37" s="100" t="n"/>
      <c r="M37" s="100" t="n"/>
      <c r="N37" s="100" t="n"/>
      <c r="O37" s="100" t="n"/>
      <c r="P37" s="100" t="n"/>
      <c r="Q37" s="100" t="n"/>
      <c r="R37" s="100" t="n"/>
      <c r="S37" s="100" t="n"/>
      <c r="T37" s="100" t="n"/>
      <c r="U37" s="100" t="n"/>
      <c r="V37" s="100" t="n"/>
      <c r="W37" s="100" t="n"/>
      <c r="X37" s="100" t="n"/>
      <c r="Y37" s="100" t="n"/>
      <c r="Z37" s="100" t="n"/>
    </row>
    <row r="38" ht="15.75" customHeight="1" s="215">
      <c r="A38" s="115" t="n"/>
      <c r="B38" s="52" t="n">
        <v>27</v>
      </c>
      <c r="C38" s="235" t="inlineStr">
        <is>
          <t>GU-023 – Endpoint POST /data-owner/restaurantes/{restaurante_uid}/asignar-empleado</t>
        </is>
      </c>
      <c r="D38" s="236" t="n"/>
      <c r="E38" s="74" t="inlineStr">
        <is>
          <t>x</t>
        </is>
      </c>
      <c r="F38" s="74" t="n"/>
      <c r="G38" s="74" t="n"/>
      <c r="H38" s="74" t="n"/>
      <c r="I38" s="100" t="n"/>
      <c r="J38" s="74" t="n"/>
      <c r="K38" s="117" t="n"/>
      <c r="L38" s="100" t="n"/>
      <c r="M38" s="100" t="n"/>
      <c r="N38" s="100" t="n"/>
      <c r="O38" s="100" t="n"/>
      <c r="P38" s="100" t="n"/>
      <c r="Q38" s="100" t="n"/>
      <c r="R38" s="100" t="n"/>
      <c r="S38" s="100" t="n"/>
      <c r="T38" s="100" t="n"/>
      <c r="U38" s="100" t="n"/>
      <c r="V38" s="100" t="n"/>
      <c r="W38" s="100" t="n"/>
      <c r="X38" s="100" t="n"/>
      <c r="Y38" s="100" t="n"/>
      <c r="Z38" s="100" t="n"/>
    </row>
    <row r="39" ht="15.75" customHeight="1" s="215">
      <c r="A39" s="115" t="n"/>
      <c r="B39" s="52" t="n">
        <v>28</v>
      </c>
      <c r="C39" s="235" t="inlineStr">
        <is>
          <t>GU-024 – Endpoint POST /data-owner/cambiar-rol-cliente</t>
        </is>
      </c>
      <c r="D39" s="236" t="n"/>
      <c r="E39" s="74" t="inlineStr">
        <is>
          <t>x</t>
        </is>
      </c>
      <c r="F39" s="74" t="n"/>
      <c r="G39" s="74" t="n"/>
      <c r="H39" s="74" t="n"/>
      <c r="I39" s="100" t="n"/>
      <c r="J39" s="74" t="n"/>
      <c r="K39" s="117" t="n"/>
      <c r="L39" s="100" t="n"/>
      <c r="M39" s="100" t="n"/>
      <c r="N39" s="100" t="n"/>
      <c r="O39" s="100" t="n"/>
      <c r="P39" s="100" t="n"/>
      <c r="Q39" s="100" t="n"/>
      <c r="R39" s="100" t="n"/>
      <c r="S39" s="100" t="n"/>
      <c r="T39" s="100" t="n"/>
      <c r="U39" s="100" t="n"/>
      <c r="V39" s="100" t="n"/>
      <c r="W39" s="100" t="n"/>
      <c r="X39" s="100" t="n"/>
      <c r="Y39" s="100" t="n"/>
      <c r="Z39" s="100" t="n"/>
    </row>
    <row r="40" ht="15.75" customHeight="1" s="215">
      <c r="A40" s="115" t="n"/>
      <c r="B40" s="52" t="n">
        <v>29</v>
      </c>
      <c r="C40" s="235" t="inlineStr">
        <is>
          <t>GU-025 – Endpoint GET /data-owner/restaurantes/{restaurante_uid}/administrador</t>
        </is>
      </c>
      <c r="D40" s="236" t="n"/>
      <c r="E40" s="74" t="inlineStr">
        <is>
          <t>x</t>
        </is>
      </c>
      <c r="F40" s="74" t="n"/>
      <c r="G40" s="74" t="n"/>
      <c r="H40" s="74" t="n"/>
      <c r="I40" s="100" t="n"/>
      <c r="J40" s="74" t="n"/>
      <c r="K40" s="117" t="n"/>
      <c r="L40" s="100" t="n"/>
      <c r="M40" s="100" t="n"/>
      <c r="N40" s="100" t="n"/>
      <c r="O40" s="100" t="n"/>
      <c r="P40" s="100" t="n"/>
      <c r="Q40" s="100" t="n"/>
      <c r="R40" s="100" t="n"/>
      <c r="S40" s="100" t="n"/>
      <c r="T40" s="100" t="n"/>
      <c r="U40" s="100" t="n"/>
      <c r="V40" s="100" t="n"/>
      <c r="W40" s="100" t="n"/>
      <c r="X40" s="100" t="n"/>
      <c r="Y40" s="100" t="n"/>
      <c r="Z40" s="100" t="n"/>
    </row>
    <row r="41" ht="15.75" customHeight="1" s="215">
      <c r="A41" s="115" t="n"/>
      <c r="B41" s="52" t="n">
        <v>30</v>
      </c>
      <c r="C41" s="235" t="inlineStr">
        <is>
          <t>GU-026 – Página PersonalData en /Datos_personales para datos personales</t>
        </is>
      </c>
      <c r="D41" s="236" t="n"/>
      <c r="E41" s="74" t="n"/>
      <c r="F41" s="74" t="inlineStr">
        <is>
          <t>x</t>
        </is>
      </c>
      <c r="G41" s="74" t="n"/>
      <c r="H41" s="74" t="inlineStr">
        <is>
          <t>Parcial.</t>
        </is>
      </c>
      <c r="I41" s="100" t="n"/>
      <c r="J41" s="74" t="n"/>
      <c r="K41" s="117" t="n"/>
      <c r="L41" s="100" t="n"/>
      <c r="M41" s="100" t="n"/>
      <c r="N41" s="100" t="n"/>
      <c r="O41" s="100" t="n"/>
      <c r="P41" s="100" t="n"/>
      <c r="Q41" s="100" t="n"/>
      <c r="R41" s="100" t="n"/>
      <c r="S41" s="100" t="n"/>
      <c r="T41" s="100" t="n"/>
      <c r="U41" s="100" t="n"/>
      <c r="V41" s="100" t="n"/>
      <c r="W41" s="100" t="n"/>
      <c r="X41" s="100" t="n"/>
      <c r="Y41" s="100" t="n"/>
      <c r="Z41" s="100" t="n"/>
    </row>
    <row r="42" ht="15.75" customHeight="1" s="215">
      <c r="A42" s="115" t="n"/>
      <c r="B42" s="52" t="n">
        <v>31</v>
      </c>
      <c r="C42" s="235" t="inlineStr">
        <is>
          <t>GU-027 – Componente ProfileModal para editar perfil, email y credenciales</t>
        </is>
      </c>
      <c r="D42" s="236" t="n"/>
      <c r="E42" s="74" t="inlineStr">
        <is>
          <t>x</t>
        </is>
      </c>
      <c r="F42" s="74" t="n"/>
      <c r="G42" s="74" t="n"/>
      <c r="H42" s="74" t="n"/>
      <c r="I42" s="100" t="n"/>
      <c r="J42" s="74" t="n"/>
      <c r="K42" s="117" t="n"/>
      <c r="L42" s="100" t="n"/>
      <c r="M42" s="100" t="n"/>
      <c r="N42" s="100" t="n"/>
      <c r="O42" s="100" t="n"/>
      <c r="P42" s="100" t="n"/>
      <c r="Q42" s="100" t="n"/>
      <c r="R42" s="100" t="n"/>
      <c r="S42" s="100" t="n"/>
      <c r="T42" s="100" t="n"/>
      <c r="U42" s="100" t="n"/>
      <c r="V42" s="100" t="n"/>
      <c r="W42" s="100" t="n"/>
      <c r="X42" s="100" t="n"/>
      <c r="Y42" s="100" t="n"/>
      <c r="Z42" s="100" t="n"/>
    </row>
    <row r="43" ht="15.75" customHeight="1" s="215">
      <c r="A43" s="115" t="n"/>
      <c r="B43" s="52" t="n">
        <v>32</v>
      </c>
      <c r="C43" s="235" t="inlineStr">
        <is>
          <t>GU-028 – Rol cliente: perfil y reservas desde ProfileModal en Home</t>
        </is>
      </c>
      <c r="D43" s="236" t="n"/>
      <c r="E43" s="74" t="inlineStr">
        <is>
          <t>x</t>
        </is>
      </c>
      <c r="F43" s="74" t="n"/>
      <c r="G43" s="74" t="n"/>
      <c r="H43" s="74" t="n"/>
      <c r="I43" s="100" t="n"/>
      <c r="J43" s="74" t="n"/>
      <c r="K43" s="117" t="n"/>
      <c r="L43" s="100" t="n"/>
      <c r="M43" s="100" t="n"/>
      <c r="N43" s="100" t="n"/>
      <c r="O43" s="100" t="n"/>
      <c r="P43" s="100" t="n"/>
      <c r="Q43" s="100" t="n"/>
      <c r="R43" s="100" t="n"/>
      <c r="S43" s="100" t="n"/>
      <c r="T43" s="100" t="n"/>
      <c r="U43" s="100" t="n"/>
      <c r="V43" s="100" t="n"/>
      <c r="W43" s="100" t="n"/>
      <c r="X43" s="100" t="n"/>
      <c r="Y43" s="100" t="n"/>
      <c r="Z43" s="100" t="n"/>
    </row>
    <row r="44" ht="15.75" customHeight="1" s="215">
      <c r="A44" s="115" t="n"/>
      <c r="B44" s="52" t="n">
        <v>33</v>
      </c>
      <c r="C44" s="235" t="inlineStr">
        <is>
          <t>GU-029 – Dashboard por rol: Dashboard (dueño) en /duenodashboard</t>
        </is>
      </c>
      <c r="D44" s="236" t="n"/>
      <c r="E44" s="74" t="inlineStr">
        <is>
          <t>x</t>
        </is>
      </c>
      <c r="F44" s="74" t="n"/>
      <c r="G44" s="74" t="n"/>
      <c r="H44" s="74" t="n"/>
      <c r="I44" s="100" t="n"/>
      <c r="J44" s="74" t="n"/>
      <c r="K44" s="117" t="n"/>
      <c r="L44" s="100" t="n"/>
      <c r="M44" s="100" t="n"/>
      <c r="N44" s="100" t="n"/>
      <c r="O44" s="100" t="n"/>
      <c r="P44" s="100" t="n"/>
      <c r="Q44" s="100" t="n"/>
      <c r="R44" s="100" t="n"/>
      <c r="S44" s="100" t="n"/>
      <c r="T44" s="100" t="n"/>
      <c r="U44" s="100" t="n"/>
      <c r="V44" s="100" t="n"/>
      <c r="W44" s="100" t="n"/>
      <c r="X44" s="100" t="n"/>
      <c r="Y44" s="100" t="n"/>
      <c r="Z44" s="100" t="n"/>
    </row>
    <row r="45" ht="15.75" customHeight="1" s="215">
      <c r="A45" s="115" t="n"/>
      <c r="B45" s="52" t="n">
        <v>34</v>
      </c>
      <c r="C45" s="235" t="inlineStr">
        <is>
          <t>GU-030 – Dashboard por rol: AdminDashboard en /admindashboard</t>
        </is>
      </c>
      <c r="D45" s="236" t="n"/>
      <c r="E45" s="74" t="inlineStr">
        <is>
          <t>x</t>
        </is>
      </c>
      <c r="F45" s="74" t="n"/>
      <c r="G45" s="74" t="n"/>
      <c r="H45" s="74" t="n"/>
      <c r="I45" s="100" t="n"/>
      <c r="J45" s="74" t="n"/>
      <c r="K45" s="117" t="n"/>
      <c r="L45" s="100" t="n"/>
      <c r="M45" s="100" t="n"/>
      <c r="N45" s="100" t="n"/>
      <c r="O45" s="100" t="n"/>
      <c r="P45" s="100" t="n"/>
      <c r="Q45" s="100" t="n"/>
      <c r="R45" s="100" t="n"/>
      <c r="S45" s="100" t="n"/>
      <c r="T45" s="100" t="n"/>
      <c r="U45" s="100" t="n"/>
      <c r="V45" s="100" t="n"/>
      <c r="W45" s="100" t="n"/>
      <c r="X45" s="100" t="n"/>
      <c r="Y45" s="100" t="n"/>
      <c r="Z45" s="100" t="n"/>
    </row>
    <row r="46" ht="15.75" customHeight="1" s="215">
      <c r="A46" s="115" t="n"/>
      <c r="B46" s="52" t="n">
        <v>35</v>
      </c>
      <c r="C46" s="235" t="inlineStr">
        <is>
          <t>GU-031 – Dashboard por rol: EmployeeDashboard en /EmpleadoDashboard</t>
        </is>
      </c>
      <c r="D46" s="236" t="n"/>
      <c r="E46" s="74" t="inlineStr">
        <is>
          <t>x</t>
        </is>
      </c>
      <c r="F46" s="74" t="n"/>
      <c r="G46" s="74" t="n"/>
      <c r="H46" s="74" t="n"/>
      <c r="I46" s="100" t="n"/>
      <c r="J46" s="74" t="n"/>
      <c r="K46" s="117" t="n"/>
      <c r="L46" s="100" t="n"/>
      <c r="M46" s="100" t="n"/>
      <c r="N46" s="100" t="n"/>
      <c r="O46" s="100" t="n"/>
      <c r="P46" s="100" t="n"/>
      <c r="Q46" s="100" t="n"/>
      <c r="R46" s="100" t="n"/>
      <c r="S46" s="100" t="n"/>
      <c r="T46" s="100" t="n"/>
      <c r="U46" s="100" t="n"/>
      <c r="V46" s="100" t="n"/>
      <c r="W46" s="100" t="n"/>
      <c r="X46" s="100" t="n"/>
      <c r="Y46" s="100" t="n"/>
      <c r="Z46" s="100" t="n"/>
    </row>
    <row r="47" ht="15.75" customHeight="1" s="215">
      <c r="A47" s="115" t="n"/>
      <c r="B47" s="52" t="n">
        <v>36</v>
      </c>
      <c r="C47" s="235" t="inlineStr">
        <is>
          <t>GU-032 – POST /data-owner/buscar-email para buscar usuario por correo antes de asignar</t>
        </is>
      </c>
      <c r="D47" s="236" t="n"/>
      <c r="E47" s="74" t="inlineStr">
        <is>
          <t>x</t>
        </is>
      </c>
      <c r="F47" s="74" t="n"/>
      <c r="G47" s="74" t="n"/>
      <c r="H47" s="74" t="n"/>
      <c r="I47" s="100" t="n"/>
      <c r="J47" s="74" t="n"/>
      <c r="K47" s="117" t="n"/>
      <c r="L47" s="100" t="n"/>
      <c r="M47" s="100" t="n"/>
      <c r="N47" s="100" t="n"/>
      <c r="O47" s="100" t="n"/>
      <c r="P47" s="100" t="n"/>
      <c r="Q47" s="100" t="n"/>
      <c r="R47" s="100" t="n"/>
      <c r="S47" s="100" t="n"/>
      <c r="T47" s="100" t="n"/>
      <c r="U47" s="100" t="n"/>
      <c r="V47" s="100" t="n"/>
      <c r="W47" s="100" t="n"/>
      <c r="X47" s="100" t="n"/>
      <c r="Y47" s="100" t="n"/>
      <c r="Z47" s="100" t="n"/>
    </row>
    <row r="48" ht="15.75" customHeight="1" s="215">
      <c r="A48" s="115" t="n"/>
      <c r="B48" s="52" t="n">
        <v>37</v>
      </c>
      <c r="C48" s="235" t="inlineStr">
        <is>
          <t>GU-033 – Tabla Roles con nombre_rol (cliente, dueño, administrador, empleado)</t>
        </is>
      </c>
      <c r="D48" s="236" t="n"/>
      <c r="E48" s="74" t="inlineStr">
        <is>
          <t>x</t>
        </is>
      </c>
      <c r="F48" s="74" t="n"/>
      <c r="G48" s="74" t="n"/>
      <c r="H48" s="74" t="n"/>
      <c r="I48" s="100" t="n"/>
      <c r="J48" s="74" t="n"/>
      <c r="K48" s="117" t="n"/>
      <c r="L48" s="100" t="n"/>
      <c r="M48" s="100" t="n"/>
      <c r="N48" s="100" t="n"/>
      <c r="O48" s="100" t="n"/>
      <c r="P48" s="100" t="n"/>
      <c r="Q48" s="100" t="n"/>
      <c r="R48" s="100" t="n"/>
      <c r="S48" s="100" t="n"/>
      <c r="T48" s="100" t="n"/>
      <c r="U48" s="100" t="n"/>
      <c r="V48" s="100" t="n"/>
      <c r="W48" s="100" t="n"/>
      <c r="X48" s="100" t="n"/>
      <c r="Y48" s="100" t="n"/>
      <c r="Z48" s="100" t="n"/>
    </row>
    <row r="49" ht="15.75" customHeight="1" s="215">
      <c r="A49" s="115" t="n"/>
      <c r="B49" s="52" t="n">
        <v>38</v>
      </c>
      <c r="C49" s="235" t="inlineStr">
        <is>
          <t>GU-034 – Endpoint GET /credenciales/me/role protegido por verificar_token</t>
        </is>
      </c>
      <c r="D49" s="236" t="n"/>
      <c r="E49" s="74" t="inlineStr">
        <is>
          <t>x</t>
        </is>
      </c>
      <c r="F49" s="74" t="n"/>
      <c r="G49" s="74" t="n"/>
      <c r="H49" s="74" t="n"/>
      <c r="I49" s="100" t="n"/>
      <c r="J49" s="74" t="n"/>
      <c r="K49" s="117" t="n"/>
      <c r="L49" s="100" t="n"/>
      <c r="M49" s="100" t="n"/>
      <c r="N49" s="100" t="n"/>
      <c r="O49" s="100" t="n"/>
      <c r="P49" s="100" t="n"/>
      <c r="Q49" s="100" t="n"/>
      <c r="R49" s="100" t="n"/>
      <c r="S49" s="100" t="n"/>
      <c r="T49" s="100" t="n"/>
      <c r="U49" s="100" t="n"/>
      <c r="V49" s="100" t="n"/>
      <c r="W49" s="100" t="n"/>
      <c r="X49" s="100" t="n"/>
      <c r="Y49" s="100" t="n"/>
      <c r="Z49" s="100" t="n"/>
    </row>
    <row r="50" ht="15.75" customHeight="1" s="215">
      <c r="A50" s="115" t="n"/>
      <c r="B50" s="52" t="n">
        <v>39</v>
      </c>
      <c r="C50" s="235" t="inlineStr">
        <is>
          <t>GU-035 – Validación de formato de email en registro</t>
        </is>
      </c>
      <c r="D50" s="236" t="n"/>
      <c r="E50" s="74" t="inlineStr">
        <is>
          <t>x</t>
        </is>
      </c>
      <c r="F50" s="74" t="n"/>
      <c r="G50" s="74" t="n"/>
      <c r="H50" s="74" t="n"/>
      <c r="I50" s="100" t="n"/>
      <c r="J50" s="74" t="n"/>
      <c r="K50" s="117" t="n"/>
      <c r="L50" s="100" t="n"/>
      <c r="M50" s="100" t="n"/>
      <c r="N50" s="100" t="n"/>
      <c r="O50" s="100" t="n"/>
      <c r="P50" s="100" t="n"/>
      <c r="Q50" s="100" t="n"/>
      <c r="R50" s="100" t="n"/>
      <c r="S50" s="100" t="n"/>
      <c r="T50" s="100" t="n"/>
      <c r="U50" s="100" t="n"/>
      <c r="V50" s="100" t="n"/>
      <c r="W50" s="100" t="n"/>
      <c r="X50" s="100" t="n"/>
      <c r="Y50" s="100" t="n"/>
      <c r="Z50" s="100" t="n"/>
    </row>
    <row r="51" ht="15.75" customHeight="1" s="215">
      <c r="A51" s="115" t="n"/>
      <c r="B51" s="52" t="n">
        <v>40</v>
      </c>
      <c r="C51" s="235" t="inlineStr">
        <is>
          <t>GU-036 – Endpoints POST /credenciales/login y POST /credenciales/refresh (sesión y cookie de refresh)</t>
        </is>
      </c>
      <c r="D51" s="236" t="n"/>
      <c r="E51" s="74" t="inlineStr">
        <is>
          <t>x</t>
        </is>
      </c>
      <c r="F51" s="74" t="n"/>
      <c r="G51" s="74" t="n"/>
      <c r="H51" s="74" t="n"/>
      <c r="I51" s="100" t="n"/>
      <c r="J51" s="74" t="n"/>
      <c r="K51" s="117" t="n"/>
      <c r="L51" s="100" t="n"/>
      <c r="M51" s="100" t="n"/>
      <c r="N51" s="100" t="n"/>
      <c r="O51" s="100" t="n"/>
      <c r="P51" s="100" t="n"/>
      <c r="Q51" s="100" t="n"/>
      <c r="R51" s="100" t="n"/>
      <c r="S51" s="100" t="n"/>
      <c r="T51" s="100" t="n"/>
      <c r="U51" s="100" t="n"/>
      <c r="V51" s="100" t="n"/>
      <c r="W51" s="100" t="n"/>
      <c r="X51" s="100" t="n"/>
      <c r="Y51" s="100" t="n"/>
      <c r="Z51" s="100" t="n"/>
    </row>
    <row r="52" ht="15.75" customHeight="1" s="215">
      <c r="A52" s="115" t="n"/>
      <c r="B52" s="52" t="n">
        <v>41</v>
      </c>
      <c r="C52" s="235" t="inlineStr">
        <is>
          <t>GU-037 – Endpoint POST /register/register para registro de usuarios</t>
        </is>
      </c>
      <c r="D52" s="236" t="n"/>
      <c r="E52" s="74" t="inlineStr">
        <is>
          <t>x</t>
        </is>
      </c>
      <c r="F52" s="74" t="n"/>
      <c r="G52" s="74" t="n"/>
      <c r="H52" s="74" t="n"/>
      <c r="I52" s="100" t="n"/>
      <c r="J52" s="74" t="n"/>
      <c r="K52" s="117" t="n"/>
      <c r="L52" s="100" t="n"/>
      <c r="M52" s="100" t="n"/>
      <c r="N52" s="100" t="n"/>
      <c r="O52" s="100" t="n"/>
      <c r="P52" s="100" t="n"/>
      <c r="Q52" s="100" t="n"/>
      <c r="R52" s="100" t="n"/>
      <c r="S52" s="100" t="n"/>
      <c r="T52" s="100" t="n"/>
      <c r="U52" s="100" t="n"/>
      <c r="V52" s="100" t="n"/>
      <c r="W52" s="100" t="n"/>
      <c r="X52" s="100" t="n"/>
      <c r="Y52" s="100" t="n"/>
      <c r="Z52" s="100" t="n"/>
    </row>
    <row r="53" ht="15.75" customHeight="1" s="215">
      <c r="A53" s="115" t="n"/>
      <c r="B53" s="52" t="n">
        <v>42</v>
      </c>
      <c r="C53" s="235" t="inlineStr">
        <is>
          <t>GU-038 – Recuperación de contraseña (POST /password-reset/request, verify, reset)</t>
        </is>
      </c>
      <c r="D53" s="236" t="n"/>
      <c r="E53" s="74" t="inlineStr">
        <is>
          <t>x</t>
        </is>
      </c>
      <c r="F53" s="74" t="n"/>
      <c r="G53" s="74" t="n"/>
      <c r="H53" s="74" t="n"/>
      <c r="I53" s="100" t="n"/>
      <c r="J53" s="74" t="n"/>
      <c r="K53" s="117" t="n"/>
      <c r="L53" s="100" t="n"/>
      <c r="M53" s="100" t="n"/>
      <c r="N53" s="100" t="n"/>
      <c r="O53" s="100" t="n"/>
      <c r="P53" s="100" t="n"/>
      <c r="Q53" s="100" t="n"/>
      <c r="R53" s="100" t="n"/>
      <c r="S53" s="100" t="n"/>
      <c r="T53" s="100" t="n"/>
      <c r="U53" s="100" t="n"/>
      <c r="V53" s="100" t="n"/>
      <c r="W53" s="100" t="n"/>
      <c r="X53" s="100" t="n"/>
      <c r="Y53" s="100" t="n"/>
      <c r="Z53" s="100" t="n"/>
    </row>
    <row r="54" ht="15.75" customHeight="1" s="215">
      <c r="A54" s="115" t="n"/>
      <c r="B54" s="52" t="n">
        <v>43</v>
      </c>
      <c r="C54" s="235" t="inlineStr">
        <is>
          <t>GU-039 – Endpoint GET /cliente/mis-reservas</t>
        </is>
      </c>
      <c r="D54" s="236" t="n"/>
      <c r="E54" s="74" t="inlineStr">
        <is>
          <t>x</t>
        </is>
      </c>
      <c r="F54" s="74" t="n"/>
      <c r="G54" s="74" t="n"/>
      <c r="H54" s="74" t="n"/>
      <c r="I54" s="100" t="n"/>
      <c r="J54" s="74" t="n"/>
      <c r="K54" s="117" t="n"/>
      <c r="L54" s="100" t="n"/>
      <c r="M54" s="100" t="n"/>
      <c r="N54" s="100" t="n"/>
      <c r="O54" s="100" t="n"/>
      <c r="P54" s="100" t="n"/>
      <c r="Q54" s="100" t="n"/>
      <c r="R54" s="100" t="n"/>
      <c r="S54" s="100" t="n"/>
      <c r="T54" s="100" t="n"/>
      <c r="U54" s="100" t="n"/>
      <c r="V54" s="100" t="n"/>
      <c r="W54" s="100" t="n"/>
      <c r="X54" s="100" t="n"/>
      <c r="Y54" s="100" t="n"/>
      <c r="Z54" s="100" t="n"/>
    </row>
    <row r="55" ht="15.75" customHeight="1" s="215">
      <c r="A55" s="115" t="n"/>
      <c r="B55" s="52" t="n">
        <v>44</v>
      </c>
      <c r="C55" s="235" t="inlineStr">
        <is>
          <t>GU-040 – Endpoint PUT /data-owner/restaurantes/{restaurante_uid}/administrador</t>
        </is>
      </c>
      <c r="D55" s="236" t="n"/>
      <c r="E55" s="74" t="inlineStr">
        <is>
          <t>x</t>
        </is>
      </c>
      <c r="F55" s="74" t="n"/>
      <c r="G55" s="74" t="n"/>
      <c r="H55" s="74" t="n"/>
      <c r="I55" s="100" t="n"/>
      <c r="J55" s="74" t="n"/>
      <c r="K55" s="117" t="n"/>
      <c r="L55" s="100" t="n"/>
      <c r="M55" s="100" t="n"/>
      <c r="N55" s="100" t="n"/>
      <c r="O55" s="100" t="n"/>
      <c r="P55" s="100" t="n"/>
      <c r="Q55" s="100" t="n"/>
      <c r="R55" s="100" t="n"/>
      <c r="S55" s="100" t="n"/>
      <c r="T55" s="100" t="n"/>
      <c r="U55" s="100" t="n"/>
      <c r="V55" s="100" t="n"/>
      <c r="W55" s="100" t="n"/>
      <c r="X55" s="100" t="n"/>
      <c r="Y55" s="100" t="n"/>
      <c r="Z55" s="100" t="n"/>
    </row>
    <row r="56" ht="15.75" customHeight="1" s="215">
      <c r="A56" s="115" t="n"/>
      <c r="B56" s="52" t="n">
        <v>45</v>
      </c>
      <c r="C56" s="235" t="inlineStr">
        <is>
          <t>GU-041 – Endpoint PATCH /cliente/mis-reservas/{id_reserva}/cancelar</t>
        </is>
      </c>
      <c r="D56" s="236" t="n"/>
      <c r="E56" s="74" t="inlineStr">
        <is>
          <t>x</t>
        </is>
      </c>
      <c r="F56" s="74" t="n"/>
      <c r="G56" s="74" t="n"/>
      <c r="H56" s="74" t="n"/>
      <c r="I56" s="100" t="n"/>
      <c r="J56" s="74" t="n"/>
      <c r="K56" s="117" t="n"/>
      <c r="L56" s="100" t="n"/>
      <c r="M56" s="100" t="n"/>
      <c r="N56" s="100" t="n"/>
      <c r="O56" s="100" t="n"/>
      <c r="P56" s="100" t="n"/>
      <c r="Q56" s="100" t="n"/>
      <c r="R56" s="100" t="n"/>
      <c r="S56" s="100" t="n"/>
      <c r="T56" s="100" t="n"/>
      <c r="U56" s="100" t="n"/>
      <c r="V56" s="100" t="n"/>
      <c r="W56" s="100" t="n"/>
      <c r="X56" s="100" t="n"/>
      <c r="Y56" s="100" t="n"/>
      <c r="Z56" s="100" t="n"/>
    </row>
    <row r="57" ht="15.75" customHeight="1" s="215">
      <c r="A57" s="115" t="n"/>
      <c r="B57" s="52" t="n">
        <v>46</v>
      </c>
      <c r="C57" s="235" t="inlineStr">
        <is>
          <t>GU-042 – Endpoint PUT /cliente/editarcliente para actualizar datos del cliente</t>
        </is>
      </c>
      <c r="D57" s="236" t="n"/>
      <c r="E57" s="74" t="inlineStr">
        <is>
          <t>x</t>
        </is>
      </c>
      <c r="F57" s="74" t="n"/>
      <c r="G57" s="74" t="n"/>
      <c r="H57" s="74" t="n"/>
      <c r="I57" s="100" t="n"/>
      <c r="J57" s="74" t="n"/>
      <c r="K57" s="117" t="n"/>
      <c r="L57" s="100" t="n"/>
      <c r="M57" s="100" t="n"/>
      <c r="N57" s="100" t="n"/>
      <c r="O57" s="100" t="n"/>
      <c r="P57" s="100" t="n"/>
      <c r="Q57" s="100" t="n"/>
      <c r="R57" s="100" t="n"/>
      <c r="S57" s="100" t="n"/>
      <c r="T57" s="100" t="n"/>
      <c r="U57" s="100" t="n"/>
      <c r="V57" s="100" t="n"/>
      <c r="W57" s="100" t="n"/>
      <c r="X57" s="100" t="n"/>
      <c r="Y57" s="100" t="n"/>
      <c r="Z57" s="100" t="n"/>
    </row>
    <row r="58" ht="15.75" customHeight="1" s="215">
      <c r="A58" s="115" t="n"/>
      <c r="B58" s="52" t="n">
        <v>47</v>
      </c>
      <c r="C58" s="235" t="inlineStr">
        <is>
          <t>GU-043 – Componente ProtectedRoute y RoleEnforcer para rutas por rol</t>
        </is>
      </c>
      <c r="D58" s="236" t="n"/>
      <c r="E58" s="74" t="inlineStr">
        <is>
          <t>x</t>
        </is>
      </c>
      <c r="F58" s="74" t="n"/>
      <c r="G58" s="74" t="n"/>
      <c r="H58" s="74" t="n"/>
      <c r="I58" s="100" t="n"/>
      <c r="J58" s="74" t="n"/>
      <c r="K58" s="117" t="n"/>
      <c r="L58" s="100" t="n"/>
      <c r="M58" s="100" t="n"/>
      <c r="N58" s="100" t="n"/>
      <c r="O58" s="100" t="n"/>
      <c r="P58" s="100" t="n"/>
      <c r="Q58" s="100" t="n"/>
      <c r="R58" s="100" t="n"/>
      <c r="S58" s="100" t="n"/>
      <c r="T58" s="100" t="n"/>
      <c r="U58" s="100" t="n"/>
      <c r="V58" s="100" t="n"/>
      <c r="W58" s="100" t="n"/>
      <c r="X58" s="100" t="n"/>
      <c r="Y58" s="100" t="n"/>
      <c r="Z58" s="100" t="n"/>
    </row>
    <row r="59" ht="15.75" customHeight="1" s="215">
      <c r="A59" s="115" t="n"/>
      <c r="B59" s="52" t="n">
        <v>48</v>
      </c>
      <c r="C59" s="235" t="inlineStr">
        <is>
          <t>GU-044 – Endpoint GET /data-owner/empleados (listado de empleados para el dueño)</t>
        </is>
      </c>
      <c r="D59" s="236" t="n"/>
      <c r="E59" s="74" t="inlineStr">
        <is>
          <t>x</t>
        </is>
      </c>
      <c r="F59" s="74" t="n"/>
      <c r="G59" s="74" t="n"/>
      <c r="H59" s="74" t="n"/>
      <c r="I59" s="100" t="n"/>
      <c r="J59" s="74" t="n"/>
      <c r="K59" s="117" t="n"/>
      <c r="L59" s="100" t="n"/>
      <c r="M59" s="100" t="n"/>
      <c r="N59" s="100" t="n"/>
      <c r="O59" s="100" t="n"/>
      <c r="P59" s="100" t="n"/>
      <c r="Q59" s="100" t="n"/>
      <c r="R59" s="100" t="n"/>
      <c r="S59" s="100" t="n"/>
      <c r="T59" s="100" t="n"/>
      <c r="U59" s="100" t="n"/>
      <c r="V59" s="100" t="n"/>
      <c r="W59" s="100" t="n"/>
      <c r="X59" s="100" t="n"/>
      <c r="Y59" s="100" t="n"/>
      <c r="Z59" s="100" t="n"/>
    </row>
    <row r="60" ht="15.75" customHeight="1" s="215"/>
    <row r="61" ht="15.75" customHeight="1" s="215"/>
    <row r="62" ht="15.75" customHeight="1" s="215"/>
    <row r="63" ht="15.75" customHeight="1" s="215"/>
    <row r="64" ht="15.75" customHeight="1" s="215"/>
    <row r="65" ht="15.75" customHeight="1" s="215"/>
    <row r="66" ht="15.75" customHeight="1" s="215"/>
    <row r="67" ht="15.75" customHeight="1" s="215"/>
    <row r="68" ht="15.75" customHeight="1" s="215"/>
    <row r="69" ht="15.75" customHeight="1" s="215"/>
    <row r="70" ht="15.75" customHeight="1" s="215"/>
    <row r="71" ht="15.75" customHeight="1" s="215"/>
    <row r="72" ht="15.75" customHeight="1" s="215"/>
    <row r="73" ht="15.75" customHeight="1" s="215"/>
    <row r="74" ht="15.75" customHeight="1" s="215"/>
    <row r="75" ht="15.75" customHeight="1" s="215"/>
    <row r="76" ht="15.75" customHeight="1" s="215"/>
    <row r="77" ht="15.75" customHeight="1" s="215"/>
    <row r="78" ht="15.75" customHeight="1" s="215"/>
    <row r="79" ht="15.75" customHeight="1" s="215"/>
    <row r="80" ht="15.75" customHeight="1" s="215"/>
    <row r="81" ht="15.75" customHeight="1" s="215"/>
    <row r="82" ht="15.75" customHeight="1" s="215"/>
    <row r="83" ht="15.75" customHeight="1" s="215"/>
    <row r="84" ht="15.75" customHeight="1" s="215"/>
    <row r="85" ht="15.75" customHeight="1" s="215"/>
    <row r="86" ht="15.75" customHeight="1" s="215"/>
    <row r="87" ht="15.75" customHeight="1" s="215"/>
    <row r="88" ht="15.75" customHeight="1" s="215"/>
    <row r="89" ht="15.75" customHeight="1" s="215"/>
    <row r="90" ht="15.75" customHeight="1" s="215"/>
    <row r="91" ht="15.75" customHeight="1" s="215"/>
    <row r="92" ht="15.75" customHeight="1" s="215"/>
    <row r="93" ht="15.75" customHeight="1" s="215"/>
    <row r="94" ht="15.75" customHeight="1" s="215"/>
    <row r="95" ht="15.75" customHeight="1" s="215"/>
    <row r="96" ht="15.75" customHeight="1" s="215"/>
    <row r="97" ht="15.75" customHeight="1" s="215"/>
    <row r="98" ht="15.75" customHeight="1" s="215"/>
    <row r="99" ht="15.75" customHeight="1" s="215"/>
    <row r="100" ht="15.75" customHeight="1" s="215"/>
    <row r="101" ht="15.75" customHeight="1" s="215"/>
    <row r="102" ht="15.75" customHeight="1" s="215"/>
    <row r="103" ht="15.75" customHeight="1" s="215"/>
    <row r="104" ht="15.75" customHeight="1" s="215"/>
    <row r="105" ht="15.75" customHeight="1" s="215"/>
    <row r="106" ht="15.75" customHeight="1" s="215"/>
    <row r="107" ht="15.75" customHeight="1" s="215"/>
    <row r="108" ht="15.75" customHeight="1" s="215"/>
    <row r="109" ht="15.75" customHeight="1" s="215"/>
    <row r="110" ht="15.75" customHeight="1" s="215"/>
    <row r="111" ht="15.75" customHeight="1" s="215"/>
    <row r="112" ht="15.75" customHeight="1" s="215"/>
    <row r="113" ht="15.75" customHeight="1" s="215"/>
    <row r="114" ht="15.75" customHeight="1" s="215"/>
    <row r="115" ht="15.75" customHeight="1" s="215"/>
    <row r="116" ht="15.75" customHeight="1" s="215"/>
    <row r="117" ht="15.75" customHeight="1" s="215"/>
    <row r="118" ht="15.75" customHeight="1" s="215"/>
    <row r="119" ht="15.75" customHeight="1" s="215"/>
    <row r="120" ht="15.75" customHeight="1" s="215"/>
    <row r="121" ht="15.75" customHeight="1" s="215"/>
    <row r="122" ht="15.75" customHeight="1" s="215"/>
    <row r="123" ht="15.75" customHeight="1" s="215"/>
    <row r="124" ht="15.75" customHeight="1" s="215"/>
    <row r="125" ht="15.75" customHeight="1" s="215"/>
    <row r="126" ht="15.75" customHeight="1" s="215"/>
    <row r="127" ht="15.75" customHeight="1" s="215"/>
    <row r="128" ht="15.75" customHeight="1" s="215"/>
    <row r="129" ht="15.75" customHeight="1" s="215"/>
    <row r="130" ht="15.75" customHeight="1" s="215"/>
    <row r="131" ht="15.75" customHeight="1" s="215"/>
    <row r="132" ht="15.75" customHeight="1" s="215"/>
    <row r="133" ht="15.75" customHeight="1" s="215"/>
    <row r="134" ht="15.75" customHeight="1" s="215"/>
    <row r="135" ht="15.75" customHeight="1" s="215"/>
    <row r="136" ht="15.75" customHeight="1" s="215"/>
    <row r="137" ht="15.75" customHeight="1" s="215"/>
    <row r="138" ht="15.75" customHeight="1" s="215"/>
    <row r="139" ht="15.75" customHeight="1" s="215"/>
    <row r="140" ht="15.75" customHeight="1" s="215"/>
    <row r="141" ht="15.75" customHeight="1" s="215"/>
    <row r="142" ht="15.75" customHeight="1" s="215"/>
    <row r="143" ht="15.75" customHeight="1" s="215"/>
    <row r="144" ht="15.75" customHeight="1" s="215"/>
    <row r="145" ht="15.75" customHeight="1" s="215"/>
    <row r="146" ht="15.75" customHeight="1" s="215"/>
    <row r="147" ht="15.75" customHeight="1" s="215"/>
    <row r="148" ht="15.75" customHeight="1" s="215"/>
    <row r="149" ht="15.75" customHeight="1" s="215"/>
    <row r="150" ht="15.75" customHeight="1" s="215"/>
    <row r="151" ht="15.75" customHeight="1" s="215"/>
    <row r="152" ht="15.75" customHeight="1" s="215"/>
    <row r="153" ht="15.75" customHeight="1" s="215"/>
    <row r="154" ht="15.75" customHeight="1" s="215"/>
    <row r="155" ht="15.75" customHeight="1" s="215"/>
    <row r="156" ht="15.75" customHeight="1" s="215"/>
    <row r="157" ht="15.75" customHeight="1" s="215"/>
    <row r="158" ht="15.75" customHeight="1" s="215"/>
    <row r="159" ht="15.75" customHeight="1" s="215"/>
    <row r="160" ht="15.75" customHeight="1" s="215"/>
    <row r="161" ht="15.75" customHeight="1" s="215"/>
    <row r="162" ht="15.75" customHeight="1" s="215"/>
    <row r="163" ht="15.75" customHeight="1" s="215"/>
    <row r="164" ht="15.75" customHeight="1" s="215"/>
    <row r="165" ht="15.75" customHeight="1" s="215"/>
    <row r="166" ht="15.75" customHeight="1" s="215"/>
    <row r="167" ht="15.75" customHeight="1" s="215"/>
    <row r="168" ht="15.75" customHeight="1" s="215"/>
    <row r="169" ht="15.75" customHeight="1" s="215"/>
    <row r="170" ht="15.75" customHeight="1" s="215"/>
    <row r="171" ht="15.75" customHeight="1" s="215"/>
    <row r="172" ht="15.75" customHeight="1" s="215"/>
    <row r="173" ht="15.75" customHeight="1" s="215"/>
    <row r="174" ht="15.75" customHeight="1" s="215"/>
    <row r="175" ht="15.75" customHeight="1" s="215"/>
    <row r="176" ht="15.75" customHeight="1" s="215"/>
    <row r="177" ht="15.75" customHeight="1" s="215"/>
    <row r="178" ht="15.75" customHeight="1" s="215"/>
    <row r="179" ht="15.75" customHeight="1" s="215"/>
    <row r="180" ht="15.75" customHeight="1" s="215"/>
    <row r="181" ht="15.75" customHeight="1" s="215"/>
    <row r="182" ht="15.75" customHeight="1" s="215"/>
    <row r="183" ht="15.75" customHeight="1" s="215"/>
    <row r="184" ht="15.75" customHeight="1" s="215"/>
    <row r="185" ht="15.75" customHeight="1" s="215"/>
    <row r="186" ht="15.75" customHeight="1" s="215"/>
    <row r="187" ht="15.75" customHeight="1" s="215"/>
    <row r="188" ht="15.75" customHeight="1" s="215"/>
    <row r="189" ht="15.75" customHeight="1" s="215"/>
    <row r="190" ht="15.75" customHeight="1" s="215"/>
    <row r="191" ht="15.75" customHeight="1" s="215"/>
    <row r="192" ht="15.75" customHeight="1" s="215"/>
    <row r="193" ht="15.75" customHeight="1" s="215"/>
    <row r="194" ht="15.75" customHeight="1" s="215"/>
    <row r="195" ht="15.75" customHeight="1" s="215"/>
    <row r="196" ht="15.75" customHeight="1" s="215"/>
    <row r="197" ht="15.75" customHeight="1" s="215"/>
    <row r="198" ht="15.75" customHeight="1" s="215"/>
    <row r="199" ht="15.75" customHeight="1" s="215"/>
    <row r="200" ht="15.75" customHeight="1" s="215"/>
    <row r="201" ht="15.75" customHeight="1" s="215"/>
    <row r="202" ht="15.75" customHeight="1" s="215"/>
    <row r="203" ht="15.75" customHeight="1" s="215"/>
    <row r="204" ht="15.75" customHeight="1" s="215"/>
    <row r="205" ht="15.75" customHeight="1" s="215"/>
    <row r="206" ht="15.75" customHeight="1" s="215"/>
    <row r="207" ht="15.75" customHeight="1" s="215"/>
    <row r="208" ht="15.75" customHeight="1" s="215"/>
    <row r="209" ht="15.75" customHeight="1" s="215"/>
    <row r="210" ht="15.75" customHeight="1" s="215"/>
    <row r="211" ht="15.75" customHeight="1" s="215"/>
    <row r="212" ht="15.75" customHeight="1" s="215"/>
    <row r="213" ht="15.75" customHeight="1" s="215"/>
    <row r="214" ht="15.75" customHeight="1" s="215"/>
    <row r="215" ht="15.75" customHeight="1" s="215"/>
    <row r="216" ht="15.75" customHeight="1" s="215"/>
    <row r="217" ht="15.75" customHeight="1" s="215"/>
    <row r="218" ht="15.75" customHeight="1" s="215"/>
    <row r="219" ht="15.75" customHeight="1" s="215"/>
    <row r="220" ht="15.75" customHeight="1" s="215"/>
    <row r="221" ht="15.75" customHeight="1" s="215"/>
    <row r="222" ht="15.75" customHeight="1" s="215"/>
    <row r="223" ht="15.75" customHeight="1" s="215"/>
    <row r="224" ht="15.75" customHeight="1" s="215"/>
    <row r="225" ht="15.75" customHeight="1" s="215"/>
    <row r="226" ht="15.75" customHeight="1" s="215"/>
    <row r="227" ht="15.75" customHeight="1" s="215"/>
    <row r="228" ht="15.75" customHeight="1" s="215"/>
    <row r="229" ht="15.75" customHeight="1" s="215"/>
    <row r="230" ht="15.75" customHeight="1" s="215"/>
    <row r="231" ht="15.75" customHeight="1" s="215"/>
    <row r="232" ht="15.75" customHeight="1" s="215"/>
    <row r="233" ht="15.75" customHeight="1" s="215"/>
    <row r="234" ht="15.75" customHeight="1" s="215"/>
    <row r="235" ht="15.75" customHeight="1" s="215"/>
    <row r="236" ht="15.75" customHeight="1" s="215"/>
    <row r="237" ht="15.75" customHeight="1" s="215"/>
    <row r="238" ht="15.75" customHeight="1" s="215"/>
    <row r="239" ht="15.75" customHeight="1" s="215"/>
    <row r="240" ht="15.75" customHeight="1" s="215"/>
    <row r="241" ht="15.75" customHeight="1" s="215"/>
    <row r="242" ht="15.75" customHeight="1" s="215"/>
    <row r="243" ht="15.75" customHeight="1" s="215"/>
    <row r="244" ht="15.75" customHeight="1" s="215"/>
    <row r="245" ht="15.75" customHeight="1" s="215"/>
    <row r="246" ht="15.75" customHeight="1" s="215"/>
    <row r="247" ht="15.75" customHeight="1" s="215"/>
    <row r="248" ht="15.75" customHeight="1" s="215"/>
    <row r="249" ht="15.75" customHeight="1" s="215"/>
    <row r="250" ht="15.75" customHeight="1" s="215"/>
    <row r="251" ht="15.75" customHeight="1" s="215"/>
    <row r="252" ht="15.75" customHeight="1" s="215"/>
    <row r="253" ht="15.75" customHeight="1" s="215"/>
    <row r="254" ht="15.75" customHeight="1" s="215"/>
    <row r="255" ht="15.75" customHeight="1" s="215"/>
    <row r="256" ht="15.75" customHeight="1" s="215"/>
    <row r="257" ht="15.75" customHeight="1" s="215"/>
    <row r="258" ht="15.75" customHeight="1" s="215"/>
    <row r="259" ht="15.75" customHeight="1" s="215"/>
    <row r="260" ht="15.75" customHeight="1" s="215"/>
    <row r="261" ht="15.75" customHeight="1" s="215"/>
    <row r="262" ht="15.75" customHeight="1" s="215"/>
    <row r="263" ht="15.75" customHeight="1" s="215"/>
    <row r="264" ht="15.75" customHeight="1" s="215"/>
    <row r="265" ht="15.75" customHeight="1" s="215"/>
    <row r="266" ht="15.75" customHeight="1" s="215"/>
    <row r="267" ht="15.75" customHeight="1" s="215"/>
    <row r="268" ht="15.75" customHeight="1" s="215"/>
    <row r="269" ht="15.75" customHeight="1" s="215"/>
    <row r="270" ht="15.75" customHeight="1" s="215"/>
    <row r="271" ht="15.75" customHeight="1" s="215"/>
    <row r="272" ht="15.75" customHeight="1" s="215"/>
    <row r="273" ht="15.75" customHeight="1" s="215"/>
    <row r="274" ht="15.75" customHeight="1" s="215"/>
    <row r="275" ht="15.75" customHeight="1" s="215"/>
    <row r="276" ht="15.75" customHeight="1" s="215"/>
    <row r="277" ht="15.75" customHeight="1" s="215"/>
    <row r="278" ht="15.75" customHeight="1" s="215"/>
    <row r="279" ht="15.75" customHeight="1" s="215"/>
    <row r="280" ht="15.75" customHeight="1" s="215"/>
    <row r="281" ht="15.75" customHeight="1" s="215"/>
    <row r="282" ht="15.75" customHeight="1" s="215"/>
    <row r="283" ht="15.75" customHeight="1" s="215"/>
    <row r="284" ht="15.75" customHeight="1" s="215"/>
    <row r="285" ht="15.75" customHeight="1" s="215"/>
    <row r="286" ht="15.75" customHeight="1" s="215"/>
    <row r="287" ht="15.75" customHeight="1" s="215"/>
    <row r="288" ht="15.75" customHeight="1" s="215"/>
    <row r="289" ht="15.75" customHeight="1" s="215"/>
    <row r="290" ht="15.75" customHeight="1" s="215"/>
    <row r="291" ht="15.75" customHeight="1" s="215"/>
    <row r="292" ht="15.75" customHeight="1" s="215"/>
    <row r="293" ht="15.75" customHeight="1" s="215"/>
    <row r="294" ht="15.75" customHeight="1" s="215"/>
    <row r="295" ht="15.75" customHeight="1" s="215"/>
    <row r="296" ht="15.75" customHeight="1" s="215"/>
    <row r="297" ht="15.75" customHeight="1" s="215"/>
    <row r="298" ht="15.75" customHeight="1" s="215"/>
    <row r="299" ht="15.75" customHeight="1" s="215"/>
    <row r="300" ht="15.75" customHeight="1" s="215"/>
    <row r="301" ht="15.75" customHeight="1" s="215"/>
    <row r="302" ht="15.75" customHeight="1" s="215"/>
    <row r="303" ht="15.75" customHeight="1" s="215"/>
    <row r="304" ht="15.75" customHeight="1" s="215"/>
    <row r="305" ht="15.75" customHeight="1" s="215"/>
    <row r="306" ht="15.75" customHeight="1" s="215"/>
    <row r="307" ht="15.75" customHeight="1" s="215"/>
    <row r="308" ht="15.75" customHeight="1" s="215"/>
    <row r="309" ht="15.75" customHeight="1" s="215"/>
    <row r="310" ht="15.75" customHeight="1" s="215"/>
    <row r="311" ht="15.75" customHeight="1" s="215"/>
    <row r="312" ht="15.75" customHeight="1" s="215"/>
    <row r="313" ht="15.75" customHeight="1" s="215"/>
    <row r="314" ht="15.75" customHeight="1" s="215"/>
    <row r="315" ht="15.75" customHeight="1" s="215"/>
    <row r="316" ht="15.75" customHeight="1" s="215"/>
    <row r="317" ht="15.75" customHeight="1" s="215"/>
    <row r="318" ht="15.75" customHeight="1" s="215"/>
    <row r="319" ht="15.75" customHeight="1" s="215"/>
    <row r="320" ht="15.75" customHeight="1" s="215"/>
    <row r="321" ht="15.75" customHeight="1" s="215"/>
    <row r="322" ht="15.75" customHeight="1" s="215"/>
    <row r="323" ht="15.75" customHeight="1" s="215"/>
    <row r="324" ht="15.75" customHeight="1" s="215"/>
    <row r="325" ht="15.75" customHeight="1" s="215"/>
    <row r="326" ht="15.75" customHeight="1" s="215"/>
    <row r="327" ht="15.75" customHeight="1" s="215"/>
    <row r="328" ht="15.75" customHeight="1" s="215"/>
    <row r="329" ht="15.75" customHeight="1" s="215"/>
    <row r="330" ht="15.75" customHeight="1" s="215"/>
    <row r="331" ht="15.75" customHeight="1" s="215"/>
    <row r="332" ht="15.75" customHeight="1" s="215"/>
    <row r="333" ht="15.75" customHeight="1" s="215"/>
    <row r="334" ht="15.75" customHeight="1" s="215"/>
    <row r="335" ht="15.75" customHeight="1" s="215"/>
    <row r="336" ht="15.75" customHeight="1" s="215"/>
    <row r="337" ht="15.75" customHeight="1" s="215"/>
    <row r="338" ht="15.75" customHeight="1" s="215"/>
    <row r="339" ht="15.75" customHeight="1" s="215"/>
    <row r="340" ht="15.75" customHeight="1" s="215"/>
    <row r="341" ht="15.75" customHeight="1" s="215"/>
    <row r="342" ht="15.75" customHeight="1" s="215"/>
    <row r="343" ht="15.75" customHeight="1" s="215"/>
    <row r="344" ht="15.75" customHeight="1" s="215"/>
    <row r="345" ht="15.75" customHeight="1" s="215"/>
    <row r="346" ht="15.75" customHeight="1" s="215"/>
    <row r="347" ht="15.75" customHeight="1" s="215"/>
    <row r="348" ht="15.75" customHeight="1" s="215"/>
    <row r="349" ht="15.75" customHeight="1" s="215"/>
    <row r="350" ht="15.75" customHeight="1" s="215"/>
    <row r="351" ht="15.75" customHeight="1" s="215"/>
    <row r="352" ht="15.75" customHeight="1" s="215"/>
    <row r="353" ht="15.75" customHeight="1" s="215"/>
    <row r="354" ht="15.75" customHeight="1" s="215"/>
    <row r="355" ht="15.75" customHeight="1" s="215"/>
    <row r="356" ht="15.75" customHeight="1" s="215"/>
    <row r="357" ht="15.75" customHeight="1" s="215"/>
    <row r="358" ht="15.75" customHeight="1" s="215"/>
    <row r="359" ht="15.75" customHeight="1" s="215"/>
    <row r="360" ht="15.75" customHeight="1" s="215"/>
    <row r="361" ht="15.75" customHeight="1" s="215"/>
    <row r="362" ht="15.75" customHeight="1" s="215"/>
    <row r="363" ht="15.75" customHeight="1" s="215"/>
    <row r="364" ht="15.75" customHeight="1" s="215"/>
    <row r="365" ht="15.75" customHeight="1" s="215"/>
    <row r="366" ht="15.75" customHeight="1" s="215"/>
    <row r="367" ht="15.75" customHeight="1" s="215"/>
    <row r="368" ht="15.75" customHeight="1" s="215"/>
    <row r="369" ht="15.75" customHeight="1" s="215"/>
    <row r="370" ht="15.75" customHeight="1" s="215"/>
    <row r="371" ht="15.75" customHeight="1" s="215"/>
    <row r="372" ht="15.75" customHeight="1" s="215"/>
    <row r="373" ht="15.75" customHeight="1" s="215"/>
    <row r="374" ht="15.75" customHeight="1" s="215"/>
    <row r="375" ht="15.75" customHeight="1" s="215"/>
    <row r="376" ht="15.75" customHeight="1" s="215"/>
    <row r="377" ht="15.75" customHeight="1" s="215"/>
    <row r="378" ht="15.75" customHeight="1" s="215"/>
    <row r="379" ht="15.75" customHeight="1" s="215"/>
    <row r="380" ht="15.75" customHeight="1" s="215"/>
    <row r="381" ht="15.75" customHeight="1" s="215"/>
    <row r="382" ht="15.75" customHeight="1" s="215"/>
    <row r="383" ht="15.75" customHeight="1" s="215"/>
    <row r="384" ht="15.75" customHeight="1" s="215"/>
    <row r="385" ht="15.75" customHeight="1" s="215"/>
    <row r="386" ht="15.75" customHeight="1" s="215"/>
    <row r="387" ht="15.75" customHeight="1" s="215"/>
    <row r="388" ht="15.75" customHeight="1" s="215"/>
    <row r="389" ht="15.75" customHeight="1" s="215"/>
    <row r="390" ht="15.75" customHeight="1" s="215"/>
    <row r="391" ht="15.75" customHeight="1" s="215"/>
    <row r="392" ht="15.75" customHeight="1" s="215"/>
    <row r="393" ht="15.75" customHeight="1" s="215"/>
    <row r="394" ht="15.75" customHeight="1" s="215"/>
    <row r="395" ht="15.75" customHeight="1" s="215"/>
    <row r="396" ht="15.75" customHeight="1" s="215"/>
    <row r="397" ht="15.75" customHeight="1" s="215"/>
    <row r="398" ht="15.75" customHeight="1" s="215"/>
    <row r="399" ht="15.75" customHeight="1" s="215"/>
    <row r="400" ht="15.75" customHeight="1" s="215"/>
    <row r="401" ht="15.75" customHeight="1" s="215"/>
    <row r="402" ht="15.75" customHeight="1" s="215"/>
    <row r="403" ht="15.75" customHeight="1" s="215"/>
    <row r="404" ht="15.75" customHeight="1" s="215"/>
    <row r="405" ht="15.75" customHeight="1" s="215"/>
    <row r="406" ht="15.75" customHeight="1" s="215"/>
    <row r="407" ht="15.75" customHeight="1" s="215"/>
    <row r="408" ht="15.75" customHeight="1" s="215"/>
    <row r="409" ht="15.75" customHeight="1" s="215"/>
    <row r="410" ht="15.75" customHeight="1" s="215"/>
    <row r="411" ht="15.75" customHeight="1" s="215"/>
    <row r="412" ht="15.75" customHeight="1" s="215"/>
    <row r="413" ht="15.75" customHeight="1" s="215"/>
    <row r="414" ht="15.75" customHeight="1" s="215"/>
    <row r="415" ht="15.75" customHeight="1" s="215"/>
    <row r="416" ht="15.75" customHeight="1" s="215"/>
    <row r="417" ht="15.75" customHeight="1" s="215"/>
    <row r="418" ht="15.75" customHeight="1" s="215"/>
    <row r="419" ht="15.75" customHeight="1" s="215"/>
    <row r="420" ht="15.75" customHeight="1" s="215"/>
    <row r="421" ht="15.75" customHeight="1" s="215"/>
    <row r="422" ht="15.75" customHeight="1" s="215"/>
    <row r="423" ht="15.75" customHeight="1" s="215"/>
    <row r="424" ht="15.75" customHeight="1" s="215"/>
    <row r="425" ht="15.75" customHeight="1" s="215"/>
    <row r="426" ht="15.75" customHeight="1" s="215"/>
    <row r="427" ht="15.75" customHeight="1" s="215"/>
    <row r="428" ht="15.75" customHeight="1" s="215"/>
    <row r="429" ht="15.75" customHeight="1" s="215"/>
    <row r="430" ht="15.75" customHeight="1" s="215"/>
    <row r="431" ht="15.75" customHeight="1" s="215"/>
    <row r="432" ht="15.75" customHeight="1" s="215"/>
    <row r="433" ht="15.75" customHeight="1" s="215"/>
    <row r="434" ht="15.75" customHeight="1" s="215"/>
    <row r="435" ht="15.75" customHeight="1" s="215"/>
    <row r="436" ht="15.75" customHeight="1" s="215"/>
    <row r="437" ht="15.75" customHeight="1" s="215"/>
    <row r="438" ht="15.75" customHeight="1" s="215"/>
    <row r="439" ht="15.75" customHeight="1" s="215"/>
    <row r="440" ht="15.75" customHeight="1" s="215"/>
    <row r="441" ht="15.75" customHeight="1" s="215"/>
    <row r="442" ht="15.75" customHeight="1" s="215"/>
    <row r="443" ht="15.75" customHeight="1" s="215"/>
    <row r="444" ht="15.75" customHeight="1" s="215"/>
    <row r="445" ht="15.75" customHeight="1" s="215"/>
    <row r="446" ht="15.75" customHeight="1" s="215"/>
    <row r="447" ht="15.75" customHeight="1" s="215"/>
    <row r="448" ht="15.75" customHeight="1" s="215"/>
    <row r="449" ht="15.75" customHeight="1" s="215"/>
    <row r="450" ht="15.75" customHeight="1" s="215"/>
    <row r="451" ht="15.75" customHeight="1" s="215"/>
    <row r="452" ht="15.75" customHeight="1" s="215"/>
    <row r="453" ht="15.75" customHeight="1" s="215"/>
    <row r="454" ht="15.75" customHeight="1" s="215"/>
    <row r="455" ht="15.75" customHeight="1" s="215"/>
    <row r="456" ht="15.75" customHeight="1" s="215"/>
    <row r="457" ht="15.75" customHeight="1" s="215"/>
    <row r="458" ht="15.75" customHeight="1" s="215"/>
    <row r="459" ht="15.75" customHeight="1" s="215"/>
    <row r="460" ht="15.75" customHeight="1" s="215"/>
    <row r="461" ht="15.75" customHeight="1" s="215"/>
    <row r="462" ht="15.75" customHeight="1" s="215"/>
    <row r="463" ht="15.75" customHeight="1" s="215"/>
    <row r="464" ht="15.75" customHeight="1" s="215"/>
    <row r="465" ht="15.75" customHeight="1" s="215"/>
    <row r="466" ht="15.75" customHeight="1" s="215"/>
    <row r="467" ht="15.75" customHeight="1" s="215"/>
    <row r="468" ht="15.75" customHeight="1" s="215"/>
    <row r="469" ht="15.75" customHeight="1" s="215"/>
    <row r="470" ht="15.75" customHeight="1" s="215"/>
    <row r="471" ht="15.75" customHeight="1" s="215"/>
    <row r="472" ht="15.75" customHeight="1" s="215"/>
    <row r="473" ht="15.75" customHeight="1" s="215"/>
    <row r="474" ht="15.75" customHeight="1" s="215"/>
    <row r="475" ht="15.75" customHeight="1" s="215"/>
    <row r="476" ht="15.75" customHeight="1" s="215"/>
    <row r="477" ht="15.75" customHeight="1" s="215"/>
    <row r="478" ht="15.75" customHeight="1" s="215"/>
    <row r="479" ht="15.75" customHeight="1" s="215"/>
    <row r="480" ht="15.75" customHeight="1" s="215"/>
    <row r="481" ht="15.75" customHeight="1" s="215"/>
    <row r="482" ht="15.75" customHeight="1" s="215"/>
    <row r="483" ht="15.75" customHeight="1" s="215"/>
    <row r="484" ht="15.75" customHeight="1" s="215"/>
    <row r="485" ht="15.75" customHeight="1" s="215"/>
    <row r="486" ht="15.75" customHeight="1" s="215"/>
    <row r="487" ht="15.75" customHeight="1" s="215"/>
    <row r="488" ht="15.75" customHeight="1" s="215"/>
    <row r="489" ht="15.75" customHeight="1" s="215"/>
    <row r="490" ht="15.75" customHeight="1" s="215"/>
    <row r="491" ht="15.75" customHeight="1" s="215"/>
    <row r="492" ht="15.75" customHeight="1" s="215"/>
    <row r="493" ht="15.75" customHeight="1" s="215"/>
    <row r="494" ht="15.75" customHeight="1" s="215"/>
    <row r="495" ht="15.75" customHeight="1" s="215"/>
    <row r="496" ht="15.75" customHeight="1" s="215"/>
    <row r="497" ht="15.75" customHeight="1" s="215"/>
    <row r="498" ht="15.75" customHeight="1" s="215"/>
    <row r="499" ht="15.75" customHeight="1" s="215"/>
    <row r="500" ht="15.75" customHeight="1" s="215"/>
    <row r="501" ht="15.75" customHeight="1" s="215"/>
    <row r="502" ht="15.75" customHeight="1" s="215"/>
    <row r="503" ht="15.75" customHeight="1" s="215"/>
    <row r="504" ht="15.75" customHeight="1" s="215"/>
    <row r="505" ht="15.75" customHeight="1" s="215"/>
    <row r="506" ht="15.75" customHeight="1" s="215"/>
    <row r="507" ht="15.75" customHeight="1" s="215"/>
    <row r="508" ht="15.75" customHeight="1" s="215"/>
    <row r="509" ht="15.75" customHeight="1" s="215"/>
    <row r="510" ht="15.75" customHeight="1" s="215"/>
    <row r="511" ht="15.75" customHeight="1" s="215"/>
    <row r="512" ht="15.75" customHeight="1" s="215"/>
    <row r="513" ht="15.75" customHeight="1" s="215"/>
    <row r="514" ht="15.75" customHeight="1" s="215"/>
    <row r="515" ht="15.75" customHeight="1" s="215"/>
    <row r="516" ht="15.75" customHeight="1" s="215"/>
    <row r="517" ht="15.75" customHeight="1" s="215"/>
    <row r="518" ht="15.75" customHeight="1" s="215"/>
    <row r="519" ht="15.75" customHeight="1" s="215"/>
    <row r="520" ht="15.75" customHeight="1" s="215"/>
    <row r="521" ht="15.75" customHeight="1" s="215"/>
    <row r="522" ht="15.75" customHeight="1" s="215"/>
    <row r="523" ht="15.75" customHeight="1" s="215"/>
    <row r="524" ht="15.75" customHeight="1" s="215"/>
    <row r="525" ht="15.75" customHeight="1" s="215"/>
    <row r="526" ht="15.75" customHeight="1" s="215"/>
    <row r="527" ht="15.75" customHeight="1" s="215"/>
    <row r="528" ht="15.75" customHeight="1" s="215"/>
    <row r="529" ht="15.75" customHeight="1" s="215"/>
    <row r="530" ht="15.75" customHeight="1" s="215"/>
    <row r="531" ht="15.75" customHeight="1" s="215"/>
    <row r="532" ht="15.75" customHeight="1" s="215"/>
    <row r="533" ht="15.75" customHeight="1" s="215"/>
    <row r="534" ht="15.75" customHeight="1" s="215"/>
    <row r="535" ht="15.75" customHeight="1" s="215"/>
    <row r="536" ht="15.75" customHeight="1" s="215"/>
    <row r="537" ht="15.75" customHeight="1" s="215"/>
    <row r="538" ht="15.75" customHeight="1" s="215"/>
    <row r="539" ht="15.75" customHeight="1" s="215"/>
    <row r="540" ht="15.75" customHeight="1" s="215"/>
    <row r="541" ht="15.75" customHeight="1" s="215"/>
    <row r="542" ht="15.75" customHeight="1" s="215"/>
    <row r="543" ht="15.75" customHeight="1" s="215"/>
    <row r="544" ht="15.75" customHeight="1" s="215"/>
    <row r="545" ht="15.75" customHeight="1" s="215"/>
    <row r="546" ht="15.75" customHeight="1" s="215"/>
    <row r="547" ht="15.75" customHeight="1" s="215"/>
    <row r="548" ht="15.75" customHeight="1" s="215"/>
    <row r="549" ht="15.75" customHeight="1" s="215"/>
    <row r="550" ht="15.75" customHeight="1" s="215"/>
    <row r="551" ht="15.75" customHeight="1" s="215"/>
    <row r="552" ht="15.75" customHeight="1" s="215"/>
    <row r="553" ht="15.75" customHeight="1" s="215"/>
    <row r="554" ht="15.75" customHeight="1" s="215"/>
    <row r="555" ht="15.75" customHeight="1" s="215"/>
    <row r="556" ht="15.75" customHeight="1" s="215"/>
    <row r="557" ht="15.75" customHeight="1" s="215"/>
    <row r="558" ht="15.75" customHeight="1" s="215"/>
    <row r="559" ht="15.75" customHeight="1" s="215"/>
    <row r="560" ht="15.75" customHeight="1" s="215"/>
    <row r="561" ht="15.75" customHeight="1" s="215"/>
    <row r="562" ht="15.75" customHeight="1" s="215"/>
    <row r="563" ht="15.75" customHeight="1" s="215"/>
    <row r="564" ht="15.75" customHeight="1" s="215"/>
    <row r="565" ht="15.75" customHeight="1" s="215"/>
    <row r="566" ht="15.75" customHeight="1" s="215"/>
    <row r="567" ht="15.75" customHeight="1" s="215"/>
    <row r="568" ht="15.75" customHeight="1" s="215"/>
    <row r="569" ht="15.75" customHeight="1" s="215"/>
    <row r="570" ht="15.75" customHeight="1" s="215"/>
    <row r="571" ht="15.75" customHeight="1" s="215"/>
    <row r="572" ht="15.75" customHeight="1" s="215"/>
    <row r="573" ht="15.75" customHeight="1" s="215"/>
    <row r="574" ht="15.75" customHeight="1" s="215"/>
    <row r="575" ht="15.75" customHeight="1" s="215"/>
    <row r="576" ht="15.75" customHeight="1" s="215"/>
    <row r="577" ht="15.75" customHeight="1" s="215"/>
    <row r="578" ht="15.75" customHeight="1" s="215"/>
    <row r="579" ht="15.75" customHeight="1" s="215"/>
    <row r="580" ht="15.75" customHeight="1" s="215"/>
    <row r="581" ht="15.75" customHeight="1" s="215"/>
    <row r="582" ht="15.75" customHeight="1" s="215"/>
    <row r="583" ht="15.75" customHeight="1" s="215"/>
    <row r="584" ht="15.75" customHeight="1" s="215"/>
    <row r="585" ht="15.75" customHeight="1" s="215"/>
    <row r="586" ht="15.75" customHeight="1" s="215"/>
    <row r="587" ht="15.75" customHeight="1" s="215"/>
    <row r="588" ht="15.75" customHeight="1" s="215"/>
    <row r="589" ht="15.75" customHeight="1" s="215"/>
    <row r="590" ht="15.75" customHeight="1" s="215"/>
    <row r="591" ht="15.75" customHeight="1" s="215"/>
    <row r="592" ht="15.75" customHeight="1" s="215"/>
    <row r="593" ht="15.75" customHeight="1" s="215"/>
    <row r="594" ht="15.75" customHeight="1" s="215"/>
    <row r="595" ht="15.75" customHeight="1" s="215"/>
    <row r="596" ht="15.75" customHeight="1" s="215"/>
    <row r="597" ht="15.75" customHeight="1" s="215"/>
    <row r="598" ht="15.75" customHeight="1" s="215"/>
    <row r="599" ht="15.75" customHeight="1" s="215"/>
    <row r="600" ht="15.75" customHeight="1" s="215"/>
    <row r="601" ht="15.75" customHeight="1" s="215"/>
    <row r="602" ht="15.75" customHeight="1" s="215"/>
    <row r="603" ht="15.75" customHeight="1" s="215"/>
    <row r="604" ht="15.75" customHeight="1" s="215"/>
    <row r="605" ht="15.75" customHeight="1" s="215"/>
    <row r="606" ht="15.75" customHeight="1" s="215"/>
    <row r="607" ht="15.75" customHeight="1" s="215"/>
    <row r="608" ht="15.75" customHeight="1" s="215"/>
    <row r="609" ht="15.75" customHeight="1" s="215"/>
    <row r="610" ht="15.75" customHeight="1" s="215"/>
    <row r="611" ht="15.75" customHeight="1" s="215"/>
    <row r="612" ht="15.75" customHeight="1" s="215"/>
    <row r="613" ht="15.75" customHeight="1" s="215"/>
    <row r="614" ht="15.75" customHeight="1" s="215"/>
    <row r="615" ht="15.75" customHeight="1" s="215"/>
    <row r="616" ht="15.75" customHeight="1" s="215"/>
    <row r="617" ht="15.75" customHeight="1" s="215"/>
    <row r="618" ht="15.75" customHeight="1" s="215"/>
    <row r="619" ht="15.75" customHeight="1" s="215"/>
    <row r="620" ht="15.75" customHeight="1" s="215"/>
    <row r="621" ht="15.75" customHeight="1" s="215"/>
    <row r="622" ht="15.75" customHeight="1" s="215"/>
    <row r="623" ht="15.75" customHeight="1" s="215"/>
    <row r="624" ht="15.75" customHeight="1" s="215"/>
    <row r="625" ht="15.75" customHeight="1" s="215"/>
    <row r="626" ht="15.75" customHeight="1" s="215"/>
    <row r="627" ht="15.75" customHeight="1" s="215"/>
    <row r="628" ht="15.75" customHeight="1" s="215"/>
    <row r="629" ht="15.75" customHeight="1" s="215"/>
    <row r="630" ht="15.75" customHeight="1" s="215"/>
    <row r="631" ht="15.75" customHeight="1" s="215"/>
    <row r="632" ht="15.75" customHeight="1" s="215"/>
    <row r="633" ht="15.75" customHeight="1" s="215"/>
    <row r="634" ht="15.75" customHeight="1" s="215"/>
    <row r="635" ht="15.75" customHeight="1" s="215"/>
    <row r="636" ht="15.75" customHeight="1" s="215"/>
    <row r="637" ht="15.75" customHeight="1" s="215"/>
    <row r="638" ht="15.75" customHeight="1" s="215"/>
    <row r="639" ht="15.75" customHeight="1" s="215"/>
    <row r="640" ht="15.75" customHeight="1" s="215"/>
    <row r="641" ht="15.75" customHeight="1" s="215"/>
    <row r="642" ht="15.75" customHeight="1" s="215"/>
    <row r="643" ht="15.75" customHeight="1" s="215"/>
    <row r="644" ht="15.75" customHeight="1" s="215"/>
    <row r="645" ht="15.75" customHeight="1" s="215"/>
    <row r="646" ht="15.75" customHeight="1" s="215"/>
    <row r="647" ht="15.75" customHeight="1" s="215"/>
    <row r="648" ht="15.75" customHeight="1" s="215"/>
    <row r="649" ht="15.75" customHeight="1" s="215"/>
    <row r="650" ht="15.75" customHeight="1" s="215"/>
    <row r="651" ht="15.75" customHeight="1" s="215"/>
    <row r="652" ht="15.75" customHeight="1" s="215"/>
    <row r="653" ht="15.75" customHeight="1" s="215"/>
    <row r="654" ht="15.75" customHeight="1" s="215"/>
    <row r="655" ht="15.75" customHeight="1" s="215"/>
    <row r="656" ht="15.75" customHeight="1" s="215"/>
    <row r="657" ht="15.75" customHeight="1" s="215"/>
    <row r="658" ht="15.75" customHeight="1" s="215"/>
    <row r="659" ht="15.75" customHeight="1" s="215"/>
    <row r="660" ht="15.75" customHeight="1" s="215"/>
    <row r="661" ht="15.75" customHeight="1" s="215"/>
    <row r="662" ht="15.75" customHeight="1" s="215"/>
    <row r="663" ht="15.75" customHeight="1" s="215"/>
    <row r="664" ht="15.75" customHeight="1" s="215"/>
    <row r="665" ht="15.75" customHeight="1" s="215"/>
    <row r="666" ht="15.75" customHeight="1" s="215"/>
    <row r="667" ht="15.75" customHeight="1" s="215"/>
    <row r="668" ht="15.75" customHeight="1" s="215"/>
    <row r="669" ht="15.75" customHeight="1" s="215"/>
    <row r="670" ht="15.75" customHeight="1" s="215"/>
    <row r="671" ht="15.75" customHeight="1" s="215"/>
    <row r="672" ht="15.75" customHeight="1" s="215"/>
    <row r="673" ht="15.75" customHeight="1" s="215"/>
    <row r="674" ht="15.75" customHeight="1" s="215"/>
    <row r="675" ht="15.75" customHeight="1" s="215"/>
    <row r="676" ht="15.75" customHeight="1" s="215"/>
    <row r="677" ht="15.75" customHeight="1" s="215"/>
    <row r="678" ht="15.75" customHeight="1" s="215"/>
    <row r="679" ht="15.75" customHeight="1" s="215"/>
    <row r="680" ht="15.75" customHeight="1" s="215"/>
    <row r="681" ht="15.75" customHeight="1" s="215"/>
    <row r="682" ht="15.75" customHeight="1" s="215"/>
    <row r="683" ht="15.75" customHeight="1" s="215"/>
    <row r="684" ht="15.75" customHeight="1" s="215"/>
    <row r="685" ht="15.75" customHeight="1" s="215"/>
    <row r="686" ht="15.75" customHeight="1" s="215"/>
    <row r="687" ht="15.75" customHeight="1" s="215"/>
    <row r="688" ht="15.75" customHeight="1" s="215"/>
    <row r="689" ht="15.75" customHeight="1" s="215"/>
    <row r="690" ht="15.75" customHeight="1" s="215"/>
    <row r="691" ht="15.75" customHeight="1" s="215"/>
    <row r="692" ht="15.75" customHeight="1" s="215"/>
    <row r="693" ht="15.75" customHeight="1" s="215"/>
    <row r="694" ht="15.75" customHeight="1" s="215"/>
    <row r="695" ht="15.75" customHeight="1" s="215"/>
    <row r="696" ht="15.75" customHeight="1" s="215"/>
    <row r="697" ht="15.75" customHeight="1" s="215"/>
    <row r="698" ht="15.75" customHeight="1" s="215"/>
    <row r="699" ht="15.75" customHeight="1" s="215"/>
    <row r="700" ht="15.75" customHeight="1" s="215"/>
    <row r="701" ht="15.75" customHeight="1" s="215"/>
    <row r="702" ht="15.75" customHeight="1" s="215"/>
    <row r="703" ht="15.75" customHeight="1" s="215"/>
    <row r="704" ht="15.75" customHeight="1" s="215"/>
    <row r="705" ht="15.75" customHeight="1" s="215"/>
    <row r="706" ht="15.75" customHeight="1" s="215"/>
    <row r="707" ht="15.75" customHeight="1" s="215"/>
    <row r="708" ht="15.75" customHeight="1" s="215"/>
    <row r="709" ht="15.75" customHeight="1" s="215"/>
    <row r="710" ht="15.75" customHeight="1" s="215"/>
    <row r="711" ht="15.75" customHeight="1" s="215"/>
    <row r="712" ht="15.75" customHeight="1" s="215"/>
    <row r="713" ht="15.75" customHeight="1" s="215"/>
    <row r="714" ht="15.75" customHeight="1" s="215"/>
    <row r="715" ht="15.75" customHeight="1" s="215"/>
    <row r="716" ht="15.75" customHeight="1" s="215"/>
    <row r="717" ht="15.75" customHeight="1" s="215"/>
    <row r="718" ht="15.75" customHeight="1" s="215"/>
    <row r="719" ht="15.75" customHeight="1" s="215"/>
    <row r="720" ht="15.75" customHeight="1" s="215"/>
    <row r="721" ht="15.75" customHeight="1" s="215"/>
    <row r="722" ht="15.75" customHeight="1" s="215"/>
    <row r="723" ht="15.75" customHeight="1" s="215"/>
    <row r="724" ht="15.75" customHeight="1" s="215"/>
    <row r="725" ht="15.75" customHeight="1" s="215"/>
    <row r="726" ht="15.75" customHeight="1" s="215"/>
    <row r="727" ht="15.75" customHeight="1" s="215"/>
    <row r="728" ht="15.75" customHeight="1" s="215"/>
    <row r="729" ht="15.75" customHeight="1" s="215"/>
    <row r="730" ht="15.75" customHeight="1" s="215"/>
    <row r="731" ht="15.75" customHeight="1" s="215"/>
    <row r="732" ht="15.75" customHeight="1" s="215"/>
    <row r="733" ht="15.75" customHeight="1" s="215"/>
    <row r="734" ht="15.75" customHeight="1" s="215"/>
    <row r="735" ht="15.75" customHeight="1" s="215"/>
    <row r="736" ht="15.75" customHeight="1" s="215"/>
    <row r="737" ht="15.75" customHeight="1" s="215"/>
    <row r="738" ht="15.75" customHeight="1" s="215"/>
    <row r="739" ht="15.75" customHeight="1" s="215"/>
    <row r="740" ht="15.75" customHeight="1" s="215"/>
    <row r="741" ht="15.75" customHeight="1" s="215"/>
    <row r="742" ht="15.75" customHeight="1" s="215"/>
    <row r="743" ht="15.75" customHeight="1" s="215"/>
    <row r="744" ht="15.75" customHeight="1" s="215"/>
    <row r="745" ht="15.75" customHeight="1" s="215"/>
    <row r="746" ht="15.75" customHeight="1" s="215"/>
    <row r="747" ht="15.75" customHeight="1" s="215"/>
    <row r="748" ht="15.75" customHeight="1" s="215"/>
    <row r="749" ht="15.75" customHeight="1" s="215"/>
    <row r="750" ht="15.75" customHeight="1" s="215"/>
    <row r="751" ht="15.75" customHeight="1" s="215"/>
    <row r="752" ht="15.75" customHeight="1" s="215"/>
    <row r="753" ht="15.75" customHeight="1" s="215"/>
    <row r="754" ht="15.75" customHeight="1" s="215"/>
    <row r="755" ht="15.75" customHeight="1" s="215"/>
    <row r="756" ht="15.75" customHeight="1" s="215"/>
    <row r="757" ht="15.75" customHeight="1" s="215"/>
    <row r="758" ht="15.75" customHeight="1" s="215"/>
    <row r="759" ht="15.75" customHeight="1" s="215"/>
    <row r="760" ht="15.75" customHeight="1" s="215"/>
    <row r="761" ht="15.75" customHeight="1" s="215"/>
    <row r="762" ht="15.75" customHeight="1" s="215"/>
    <row r="763" ht="15.75" customHeight="1" s="215"/>
    <row r="764" ht="15.75" customHeight="1" s="215"/>
    <row r="765" ht="15.75" customHeight="1" s="215"/>
    <row r="766" ht="15.75" customHeight="1" s="215"/>
    <row r="767" ht="15.75" customHeight="1" s="215"/>
    <row r="768" ht="15.75" customHeight="1" s="215"/>
    <row r="769" ht="15.75" customHeight="1" s="215"/>
    <row r="770" ht="15.75" customHeight="1" s="215"/>
    <row r="771" ht="15.75" customHeight="1" s="215"/>
    <row r="772" ht="15.75" customHeight="1" s="215"/>
    <row r="773" ht="15.75" customHeight="1" s="215"/>
    <row r="774" ht="15.75" customHeight="1" s="215"/>
    <row r="775" ht="15.75" customHeight="1" s="215"/>
    <row r="776" ht="15.75" customHeight="1" s="215"/>
    <row r="777" ht="15.75" customHeight="1" s="215"/>
    <row r="778" ht="15.75" customHeight="1" s="215"/>
    <row r="779" ht="15.75" customHeight="1" s="215"/>
    <row r="780" ht="15.75" customHeight="1" s="215"/>
    <row r="781" ht="15.75" customHeight="1" s="215"/>
    <row r="782" ht="15.75" customHeight="1" s="215"/>
    <row r="783" ht="15.75" customHeight="1" s="215"/>
    <row r="784" ht="15.75" customHeight="1" s="215"/>
    <row r="785" ht="15.75" customHeight="1" s="215"/>
    <row r="786" ht="15.75" customHeight="1" s="215"/>
    <row r="787" ht="15.75" customHeight="1" s="215"/>
    <row r="788" ht="15.75" customHeight="1" s="215"/>
    <row r="789" ht="15.75" customHeight="1" s="215"/>
    <row r="790" ht="15.75" customHeight="1" s="215"/>
    <row r="791" ht="15.75" customHeight="1" s="215"/>
    <row r="792" ht="15.75" customHeight="1" s="215"/>
    <row r="793" ht="15.75" customHeight="1" s="215"/>
    <row r="794" ht="15.75" customHeight="1" s="215"/>
    <row r="795" ht="15.75" customHeight="1" s="215"/>
    <row r="796" ht="15.75" customHeight="1" s="215"/>
    <row r="797" ht="15.75" customHeight="1" s="215"/>
    <row r="798" ht="15.75" customHeight="1" s="215"/>
    <row r="799" ht="15.75" customHeight="1" s="215"/>
    <row r="800" ht="15.75" customHeight="1" s="215"/>
    <row r="801" ht="15.75" customHeight="1" s="215"/>
    <row r="802" ht="15.75" customHeight="1" s="215"/>
    <row r="803" ht="15.75" customHeight="1" s="215"/>
    <row r="804" ht="15.75" customHeight="1" s="215"/>
    <row r="805" ht="15.75" customHeight="1" s="215"/>
    <row r="806" ht="15.75" customHeight="1" s="215"/>
    <row r="807" ht="15.75" customHeight="1" s="215"/>
    <row r="808" ht="15.75" customHeight="1" s="215"/>
    <row r="809" ht="15.75" customHeight="1" s="215"/>
    <row r="810" ht="15.75" customHeight="1" s="215"/>
    <row r="811" ht="15.75" customHeight="1" s="215"/>
    <row r="812" ht="15.75" customHeight="1" s="215"/>
    <row r="813" ht="15.75" customHeight="1" s="215"/>
    <row r="814" ht="15.75" customHeight="1" s="215"/>
    <row r="815" ht="15.75" customHeight="1" s="215"/>
    <row r="816" ht="15.75" customHeight="1" s="215"/>
    <row r="817" ht="15.75" customHeight="1" s="215"/>
    <row r="818" ht="15.75" customHeight="1" s="215"/>
    <row r="819" ht="15.75" customHeight="1" s="215"/>
    <row r="820" ht="15.75" customHeight="1" s="215"/>
    <row r="821" ht="15.75" customHeight="1" s="215"/>
    <row r="822" ht="15.75" customHeight="1" s="215"/>
    <row r="823" ht="15.75" customHeight="1" s="215"/>
    <row r="824" ht="15.75" customHeight="1" s="215"/>
    <row r="825" ht="15.75" customHeight="1" s="215"/>
    <row r="826" ht="15.75" customHeight="1" s="215"/>
    <row r="827" ht="15.75" customHeight="1" s="215"/>
    <row r="828" ht="15.75" customHeight="1" s="215"/>
    <row r="829" ht="15.75" customHeight="1" s="215"/>
    <row r="830" ht="15.75" customHeight="1" s="215"/>
    <row r="831" ht="15.75" customHeight="1" s="215"/>
    <row r="832" ht="15.75" customHeight="1" s="215"/>
    <row r="833" ht="15.75" customHeight="1" s="215"/>
    <row r="834" ht="15.75" customHeight="1" s="215"/>
    <row r="835" ht="15.75" customHeight="1" s="215"/>
    <row r="836" ht="15.75" customHeight="1" s="215"/>
    <row r="837" ht="15.75" customHeight="1" s="215"/>
    <row r="838" ht="15.75" customHeight="1" s="215"/>
    <row r="839" ht="15.75" customHeight="1" s="215"/>
    <row r="840" ht="15.75" customHeight="1" s="215"/>
    <row r="841" ht="15.75" customHeight="1" s="215"/>
    <row r="842" ht="15.75" customHeight="1" s="215"/>
    <row r="843" ht="15.75" customHeight="1" s="215"/>
    <row r="844" ht="15.75" customHeight="1" s="215"/>
    <row r="845" ht="15.75" customHeight="1" s="215"/>
    <row r="846" ht="15.75" customHeight="1" s="215"/>
    <row r="847" ht="15.75" customHeight="1" s="215"/>
    <row r="848" ht="15.75" customHeight="1" s="215"/>
    <row r="849" ht="15.75" customHeight="1" s="215"/>
    <row r="850" ht="15.75" customHeight="1" s="215"/>
    <row r="851" ht="15.75" customHeight="1" s="215"/>
    <row r="852" ht="15.75" customHeight="1" s="215"/>
    <row r="853" ht="15.75" customHeight="1" s="215"/>
    <row r="854" ht="15.75" customHeight="1" s="215"/>
    <row r="855" ht="15.75" customHeight="1" s="215"/>
    <row r="856" ht="15.75" customHeight="1" s="215"/>
    <row r="857" ht="15.75" customHeight="1" s="215"/>
    <row r="858" ht="15.75" customHeight="1" s="215"/>
    <row r="859" ht="15.75" customHeight="1" s="215"/>
    <row r="860" ht="15.75" customHeight="1" s="215"/>
    <row r="861" ht="15.75" customHeight="1" s="215"/>
    <row r="862" ht="15.75" customHeight="1" s="215"/>
    <row r="863" ht="15.75" customHeight="1" s="215"/>
    <row r="864" ht="15.75" customHeight="1" s="215"/>
    <row r="865" ht="15.75" customHeight="1" s="215"/>
    <row r="866" ht="15.75" customHeight="1" s="215"/>
    <row r="867" ht="15.75" customHeight="1" s="215"/>
    <row r="868" ht="15.75" customHeight="1" s="215"/>
    <row r="869" ht="15.75" customHeight="1" s="215"/>
    <row r="870" ht="15.75" customHeight="1" s="215"/>
    <row r="871" ht="15.75" customHeight="1" s="215"/>
    <row r="872" ht="15.75" customHeight="1" s="215"/>
    <row r="873" ht="15.75" customHeight="1" s="215"/>
    <row r="874" ht="15.75" customHeight="1" s="215"/>
    <row r="875" ht="15.75" customHeight="1" s="215"/>
    <row r="876" ht="15.75" customHeight="1" s="215"/>
    <row r="877" ht="15.75" customHeight="1" s="215"/>
    <row r="878" ht="15.75" customHeight="1" s="215"/>
    <row r="879" ht="15.75" customHeight="1" s="215"/>
    <row r="880" ht="15.75" customHeight="1" s="215"/>
    <row r="881" ht="15.75" customHeight="1" s="215"/>
    <row r="882" ht="15.75" customHeight="1" s="215"/>
    <row r="883" ht="15.75" customHeight="1" s="215"/>
    <row r="884" ht="15.75" customHeight="1" s="215"/>
    <row r="885" ht="15.75" customHeight="1" s="215"/>
    <row r="886" ht="15.75" customHeight="1" s="215"/>
    <row r="887" ht="15.75" customHeight="1" s="215"/>
    <row r="888" ht="15.75" customHeight="1" s="215"/>
    <row r="889" ht="15.75" customHeight="1" s="215"/>
    <row r="890" ht="15.75" customHeight="1" s="215"/>
    <row r="891" ht="15.75" customHeight="1" s="215"/>
    <row r="892" ht="15.75" customHeight="1" s="215"/>
    <row r="893" ht="15.75" customHeight="1" s="215"/>
    <row r="894" ht="15.75" customHeight="1" s="215"/>
    <row r="895" ht="15.75" customHeight="1" s="215"/>
    <row r="896" ht="15.75" customHeight="1" s="215"/>
    <row r="897" ht="15.75" customHeight="1" s="215"/>
    <row r="898" ht="15.75" customHeight="1" s="215"/>
    <row r="899" ht="15.75" customHeight="1" s="215"/>
    <row r="900" ht="15.75" customHeight="1" s="215"/>
    <row r="901" ht="15.75" customHeight="1" s="215"/>
    <row r="902" ht="15.75" customHeight="1" s="215"/>
    <row r="903" ht="15.75" customHeight="1" s="215"/>
    <row r="904" ht="15.75" customHeight="1" s="215"/>
    <row r="905" ht="15.75" customHeight="1" s="215"/>
    <row r="906" ht="15.75" customHeight="1" s="215"/>
    <row r="907" ht="15.75" customHeight="1" s="215"/>
    <row r="908" ht="15.75" customHeight="1" s="215"/>
    <row r="909" ht="15.75" customHeight="1" s="215"/>
    <row r="910" ht="15.75" customHeight="1" s="215"/>
    <row r="911" ht="15.75" customHeight="1" s="215"/>
    <row r="912" ht="15.75" customHeight="1" s="215"/>
    <row r="913" ht="15.75" customHeight="1" s="215"/>
    <row r="914" ht="15.75" customHeight="1" s="215"/>
    <row r="915" ht="15.75" customHeight="1" s="215"/>
    <row r="916" ht="15.75" customHeight="1" s="215"/>
    <row r="917" ht="15.75" customHeight="1" s="215"/>
    <row r="918" ht="15.75" customHeight="1" s="215"/>
    <row r="919" ht="15.75" customHeight="1" s="215"/>
    <row r="920" ht="15.75" customHeight="1" s="215"/>
    <row r="921" ht="15.75" customHeight="1" s="215"/>
    <row r="922" ht="15.75" customHeight="1" s="215"/>
    <row r="923" ht="15.75" customHeight="1" s="215"/>
    <row r="924" ht="15.75" customHeight="1" s="215"/>
    <row r="925" ht="15.75" customHeight="1" s="215"/>
    <row r="926" ht="15.75" customHeight="1" s="215"/>
    <row r="927" ht="15.75" customHeight="1" s="215"/>
    <row r="928" ht="15.75" customHeight="1" s="215"/>
    <row r="929" ht="15.75" customHeight="1" s="215"/>
    <row r="930" ht="15.75" customHeight="1" s="215"/>
    <row r="931" ht="15.75" customHeight="1" s="215"/>
    <row r="932" ht="15.75" customHeight="1" s="215"/>
    <row r="933" ht="15.75" customHeight="1" s="215"/>
    <row r="934" ht="15.75" customHeight="1" s="215"/>
    <row r="935" ht="15.75" customHeight="1" s="215"/>
    <row r="936" ht="15.75" customHeight="1" s="215"/>
    <row r="937" ht="15.75" customHeight="1" s="215"/>
    <row r="938" ht="15.75" customHeight="1" s="215"/>
    <row r="939" ht="15.75" customHeight="1" s="215"/>
    <row r="940" ht="15.75" customHeight="1" s="215"/>
    <row r="941" ht="15.75" customHeight="1" s="215"/>
    <row r="942" ht="15.75" customHeight="1" s="215"/>
    <row r="943" ht="15.75" customHeight="1" s="215"/>
    <row r="944" ht="15.75" customHeight="1" s="215"/>
    <row r="945" ht="15.75" customHeight="1" s="215"/>
    <row r="946" ht="15.75" customHeight="1" s="215"/>
    <row r="947" ht="15.75" customHeight="1" s="215"/>
    <row r="948" ht="15.75" customHeight="1" s="215"/>
    <row r="949" ht="15.75" customHeight="1" s="215"/>
    <row r="950" ht="15.75" customHeight="1" s="215"/>
    <row r="951" ht="15.75" customHeight="1" s="215"/>
    <row r="952" ht="15.75" customHeight="1" s="215"/>
    <row r="953" ht="15.75" customHeight="1" s="215"/>
    <row r="954" ht="15.75" customHeight="1" s="215"/>
    <row r="955" ht="15.75" customHeight="1" s="215"/>
    <row r="956" ht="15.75" customHeight="1" s="215"/>
    <row r="957" ht="15.75" customHeight="1" s="215"/>
    <row r="958" ht="15.75" customHeight="1" s="215"/>
    <row r="959" ht="15.75" customHeight="1" s="215"/>
    <row r="960" ht="15.75" customHeight="1" s="215"/>
    <row r="961" ht="15.75" customHeight="1" s="215"/>
    <row r="962" ht="15.75" customHeight="1" s="215"/>
    <row r="963" ht="15.75" customHeight="1" s="215"/>
    <row r="964" ht="15.75" customHeight="1" s="215"/>
    <row r="965" ht="15.75" customHeight="1" s="215"/>
    <row r="966" ht="15.75" customHeight="1" s="215"/>
    <row r="967" ht="15.75" customHeight="1" s="215"/>
    <row r="968" ht="15.75" customHeight="1" s="215"/>
    <row r="969" ht="15.75" customHeight="1" s="215"/>
    <row r="970" ht="15.75" customHeight="1" s="215"/>
    <row r="971" ht="15.75" customHeight="1" s="215"/>
    <row r="972" ht="15.75" customHeight="1" s="215"/>
    <row r="973" ht="15.75" customHeight="1" s="215"/>
    <row r="974" ht="15.75" customHeight="1" s="215"/>
    <row r="975" ht="15.75" customHeight="1" s="215"/>
    <row r="976" ht="15.75" customHeight="1" s="215"/>
    <row r="977" ht="15.75" customHeight="1" s="215"/>
    <row r="978" ht="15.75" customHeight="1" s="215"/>
    <row r="979" ht="15.75" customHeight="1" s="215"/>
    <row r="980" ht="15.75" customHeight="1" s="215"/>
    <row r="981" ht="15.75" customHeight="1" s="215"/>
    <row r="982" ht="15.75" customHeight="1" s="215"/>
    <row r="983" ht="15.75" customHeight="1" s="215"/>
    <row r="984" ht="15.75" customHeight="1" s="215"/>
    <row r="985" ht="15.75" customHeight="1" s="215"/>
    <row r="986" ht="15.75" customHeight="1" s="215"/>
    <row r="987" ht="15.75" customHeight="1" s="215"/>
    <row r="988" ht="15.75" customHeight="1" s="215"/>
    <row r="989" ht="15.75" customHeight="1" s="215"/>
    <row r="990" ht="15.75" customHeight="1" s="215"/>
    <row r="991" ht="15.75" customHeight="1" s="215"/>
    <row r="992" ht="15.75" customHeight="1" s="215"/>
    <row r="993" ht="15.75" customHeight="1" s="215"/>
    <row r="994" ht="15.75" customHeight="1" s="215"/>
    <row r="995" ht="15.75" customHeight="1" s="215"/>
    <row r="996" ht="15.75" customHeight="1" s="215"/>
    <row r="997" ht="15.75" customHeight="1" s="215"/>
    <row r="998" ht="15.75" customHeight="1" s="215"/>
    <row r="999" ht="15.75" customHeight="1" s="215"/>
    <row r="1000" ht="15.75" customHeight="1" s="215"/>
  </sheetData>
  <mergeCells count="5">
    <mergeCell ref="H9:H10"/>
    <mergeCell ref="B7:C7"/>
    <mergeCell ref="B10:C10"/>
    <mergeCell ref="B2:H2"/>
    <mergeCell ref="E9:G9"/>
  </mergeCells>
  <pageMargins left="0.7" right="0.7" top="0.75" bottom="0.75" header="0" footer="0"/>
  <pageSetup orientation="portrait"/>
</worksheet>
</file>

<file path=xl/worksheets/sheet8.xml><?xml version="1.0" encoding="utf-8"?>
<worksheet xmlns="http://schemas.openxmlformats.org/spreadsheetml/2006/main">
  <sheetPr>
    <tabColor rgb="FF1F3864"/>
    <outlinePr summaryBelow="1" summaryRight="1"/>
    <pageSetUpPr/>
  </sheetPr>
  <dimension ref="A1:M1028"/>
  <sheetViews>
    <sheetView workbookViewId="0">
      <selection activeCell="A1" sqref="A1"/>
    </sheetView>
  </sheetViews>
  <sheetFormatPr baseColWidth="8" defaultColWidth="12.63" defaultRowHeight="15" customHeight="1"/>
  <cols>
    <col width="2.5" customWidth="1" style="215" min="1" max="1"/>
    <col width="5.13" customWidth="1" style="215" min="2" max="2"/>
    <col width="9.130000000000001" customWidth="1" style="215" min="3" max="3"/>
    <col width="107.5" customWidth="1" style="215" min="4" max="4"/>
    <col width="3.75" customWidth="1" style="215" min="5" max="5"/>
    <col width="6.25" customWidth="1" style="215" min="6" max="8"/>
    <col width="75" customWidth="1" style="215" min="9" max="9"/>
    <col width="10" customWidth="1" style="215" min="10" max="10"/>
    <col width="30.13" customWidth="1" style="215" min="11" max="11"/>
    <col width="10" customWidth="1" style="215" min="12" max="26"/>
  </cols>
  <sheetData>
    <row r="1">
      <c r="B1" s="120" t="n"/>
      <c r="C1" s="121" t="n"/>
      <c r="D1" s="121" t="n"/>
      <c r="E1" s="121" t="n"/>
      <c r="F1" s="121" t="n"/>
      <c r="G1" s="121" t="n"/>
      <c r="H1" s="121" t="n"/>
      <c r="I1" s="121" t="n"/>
      <c r="J1" s="121" t="n"/>
      <c r="K1" s="121" t="n"/>
      <c r="L1" s="121" t="n"/>
      <c r="M1" s="121" t="n"/>
    </row>
    <row r="2" ht="21.75" customHeight="1" s="215">
      <c r="B2" s="237" t="inlineStr">
        <is>
          <t>LISTADO DE REQUERIMIENTOS DEL SISTEMA IMPLEMENTACION DEL SOFTWARE DE RESERVAS PARA EVENTOS DE RESTAURANTES EN BUCARAMANGA (RESERVIFY)</t>
        </is>
      </c>
      <c r="J2" s="121" t="n"/>
      <c r="K2" s="121" t="n"/>
      <c r="L2" s="121" t="n"/>
      <c r="M2" s="121" t="n"/>
    </row>
    <row r="3" ht="15" customHeight="1" s="215">
      <c r="B3" s="123" t="n"/>
      <c r="C3" s="32" t="n"/>
      <c r="D3" s="32" t="n"/>
      <c r="E3" s="121" t="n"/>
      <c r="F3" s="121" t="n"/>
      <c r="G3" s="121" t="n"/>
      <c r="H3" s="121" t="n"/>
      <c r="I3" s="121" t="n"/>
      <c r="J3" s="121" t="n"/>
      <c r="K3" s="121" t="n"/>
      <c r="L3" s="121" t="n"/>
      <c r="M3" s="121" t="n"/>
    </row>
    <row r="4" ht="15.75" customHeight="1" s="215">
      <c r="B4" s="124" t="inlineStr">
        <is>
          <t>SI</t>
        </is>
      </c>
      <c r="C4" s="34" t="inlineStr">
        <is>
          <t>Marque con una equis (X) si el sistema cumple con la función descrita</t>
        </is>
      </c>
      <c r="E4" s="121" t="n"/>
      <c r="F4" s="121" t="n"/>
      <c r="G4" s="121" t="n"/>
      <c r="H4" s="121" t="n"/>
      <c r="I4" s="121" t="n"/>
      <c r="J4" s="121" t="n"/>
      <c r="K4" s="121" t="n"/>
      <c r="L4" s="121" t="n"/>
      <c r="M4" s="121" t="n"/>
    </row>
    <row r="5" ht="15.75" customHeight="1" s="215">
      <c r="B5" s="124" t="inlineStr">
        <is>
          <t>NO</t>
        </is>
      </c>
      <c r="C5" s="34" t="inlineStr">
        <is>
          <t>Marque con una equis (X) si el sistema no cumple con la función descrita</t>
        </is>
      </c>
      <c r="E5" s="121" t="n"/>
      <c r="F5" s="121" t="n"/>
      <c r="G5" s="121" t="n"/>
      <c r="H5" s="121" t="n"/>
      <c r="I5" s="121" t="n"/>
      <c r="J5" s="121" t="n"/>
      <c r="K5" s="121" t="n"/>
      <c r="L5" s="121" t="n"/>
      <c r="M5" s="121" t="n"/>
    </row>
    <row r="6" ht="15.75" customHeight="1" s="215">
      <c r="B6" s="124" t="inlineStr">
        <is>
          <t>ADI</t>
        </is>
      </c>
      <c r="C6" s="34" t="inlineStr">
        <is>
          <t>Marque con una equis (X) si el sistema debe adicionar la función descrita</t>
        </is>
      </c>
      <c r="E6" s="121" t="n"/>
      <c r="F6" s="121" t="n"/>
      <c r="G6" s="121" t="n"/>
      <c r="H6" s="121" t="n"/>
      <c r="I6" s="121" t="n"/>
      <c r="J6" s="121" t="n"/>
      <c r="K6" s="121" t="n"/>
      <c r="L6" s="121" t="n"/>
      <c r="M6" s="121" t="n"/>
    </row>
    <row r="7" ht="15.75" customHeight="1" s="215">
      <c r="B7" s="35" t="inlineStr">
        <is>
          <t>Observaciones:</t>
        </is>
      </c>
      <c r="D7" s="34" t="inlineStr">
        <is>
          <t>Espacio para complementar respuestas</t>
        </is>
      </c>
      <c r="E7" s="121" t="n"/>
      <c r="F7" s="121" t="n"/>
      <c r="G7" s="121" t="n"/>
      <c r="H7" s="121" t="n"/>
      <c r="I7" s="121" t="n"/>
      <c r="J7" s="121" t="n"/>
      <c r="K7" s="121" t="n"/>
      <c r="L7" s="121" t="n"/>
      <c r="M7" s="121" t="n"/>
    </row>
    <row r="8" ht="15.75" customHeight="1" s="215">
      <c r="B8" s="125" t="n"/>
      <c r="C8" s="35" t="n"/>
      <c r="D8" s="34" t="n"/>
      <c r="E8" s="121" t="n"/>
      <c r="F8" s="121" t="n"/>
      <c r="G8" s="121" t="n"/>
      <c r="H8" s="121" t="n"/>
      <c r="I8" s="121" t="n"/>
      <c r="J8" s="121" t="n"/>
      <c r="K8" s="121" t="n"/>
      <c r="L8" s="121" t="n"/>
      <c r="M8" s="121" t="n"/>
    </row>
    <row r="9" ht="25.5" customHeight="1" s="215">
      <c r="B9" s="126" t="n"/>
      <c r="E9" s="127" t="n"/>
      <c r="F9" s="127" t="n"/>
      <c r="G9" s="127" t="n"/>
      <c r="H9" s="127" t="n"/>
      <c r="I9" s="127" t="n"/>
      <c r="J9" s="121" t="n"/>
      <c r="K9" s="121" t="n"/>
      <c r="L9" s="121" t="n"/>
      <c r="M9" s="121" t="n"/>
    </row>
    <row r="10">
      <c r="B10" s="120" t="n"/>
      <c r="C10" s="121" t="n"/>
      <c r="D10" s="121" t="n"/>
      <c r="E10" s="121" t="n"/>
      <c r="F10" s="238" t="inlineStr">
        <is>
          <t>Nivel de cumplimiento</t>
        </is>
      </c>
      <c r="G10" s="224" t="n"/>
      <c r="H10" s="239" t="n"/>
      <c r="I10" s="44" t="inlineStr">
        <is>
          <t>OBSERVACIONES</t>
        </is>
      </c>
      <c r="J10" s="121" t="n"/>
      <c r="K10" s="121" t="n"/>
      <c r="L10" s="121" t="n"/>
      <c r="M10" s="121" t="n"/>
    </row>
    <row r="11" ht="20.25" customHeight="1" s="215">
      <c r="B11" s="240" t="inlineStr">
        <is>
          <t>REQUERIMIENTOS NO FUNCIONALES PÁGINA WEB</t>
        </is>
      </c>
      <c r="C11" s="241" t="n"/>
      <c r="D11" s="242" t="n"/>
      <c r="E11" s="132" t="n"/>
      <c r="F11" s="44" t="inlineStr">
        <is>
          <t>SI</t>
        </is>
      </c>
      <c r="G11" s="45" t="inlineStr">
        <is>
          <t>ADI</t>
        </is>
      </c>
      <c r="H11" s="45" t="inlineStr">
        <is>
          <t>NO</t>
        </is>
      </c>
      <c r="I11" s="227" t="n"/>
      <c r="J11" s="47" t="n"/>
      <c r="K11" s="121" t="n"/>
      <c r="L11" s="121" t="n"/>
      <c r="M11" s="121" t="n"/>
    </row>
    <row r="12" ht="11.25" customHeight="1" s="215">
      <c r="B12" s="120" t="n"/>
      <c r="C12" s="133" t="n"/>
      <c r="E12" s="121" t="n"/>
      <c r="F12" s="121" t="n"/>
      <c r="G12" s="121" t="n"/>
      <c r="H12" s="121" t="n"/>
      <c r="I12" s="50" t="n"/>
      <c r="J12" s="121" t="n"/>
      <c r="K12" s="121" t="n"/>
      <c r="L12" s="121" t="n"/>
      <c r="M12" s="121" t="n"/>
    </row>
    <row r="13" ht="18.75" customHeight="1" s="215">
      <c r="B13" s="134" t="n"/>
      <c r="C13" s="243" t="inlineStr">
        <is>
          <t>COLOR DE FONDO DE LA PAGINA WEB</t>
        </is>
      </c>
      <c r="D13" s="244" t="n"/>
      <c r="E13" s="137" t="n"/>
      <c r="F13" s="55" t="n"/>
      <c r="G13" s="55" t="n"/>
      <c r="H13" s="55" t="n"/>
      <c r="I13" s="56" t="n"/>
      <c r="J13" s="121" t="n"/>
      <c r="K13" s="121" t="n"/>
      <c r="L13" s="121" t="n"/>
      <c r="M13" s="121" t="n"/>
    </row>
    <row r="14" ht="82.5" customHeight="1" s="215">
      <c r="B14" s="138" t="n"/>
      <c r="C14" s="245" t="inlineStr">
        <is>
          <t>Mediante el uso de CSS, se aplica la propiedad ‘background’ con valores específicos para crear un efecto de degradado. Se inicia con un color azul oscuro (rgb 3, 64, 138) en la parte superior. Luego, se utiliza rgba 189,206, 234, 0.817 para suavizar la tonalidad azul oscuro y obtener un tono más claro, creando así un degradado entre estas dos tonalidades. Finalmente, se añade rgba 255, 255, 255, 0.946 para obtener una tonalidad blanca, logrando así una transición armoniosa entre los tres colores.</t>
        </is>
      </c>
      <c r="D14" s="246" t="n"/>
      <c r="E14" s="137" t="n"/>
      <c r="F14" s="60" t="n"/>
      <c r="G14" s="60" t="n"/>
      <c r="H14" s="60" t="n"/>
      <c r="I14" s="61" t="n"/>
      <c r="J14" s="121" t="n"/>
      <c r="K14" s="74" t="inlineStr">
        <is>
          <t>requerimientos total</t>
        </is>
      </c>
      <c r="L14" s="117">
        <f>COUNTA(B18:B894)</f>
        <v/>
      </c>
      <c r="M14" s="121" t="n"/>
    </row>
    <row r="15" ht="18" customHeight="1" s="215">
      <c r="A15" s="141" t="n"/>
      <c r="B15" s="142" t="n"/>
      <c r="C15" s="247" t="inlineStr">
        <is>
          <t>LOGO</t>
        </is>
      </c>
      <c r="D15" s="248" t="n"/>
      <c r="E15" s="145" t="n"/>
      <c r="F15" s="60" t="n"/>
      <c r="G15" s="60" t="n"/>
      <c r="H15" s="60" t="n"/>
      <c r="I15" s="61" t="n"/>
      <c r="J15" s="121" t="n"/>
      <c r="K15" s="74" t="inlineStr">
        <is>
          <t>requerimientos completados</t>
        </is>
      </c>
      <c r="L15" s="117">
        <f>COUNTIF(F18:F894,"*x*")</f>
        <v/>
      </c>
      <c r="M15" s="121" t="n"/>
    </row>
    <row r="16" ht="129" customHeight="1" s="215">
      <c r="A16" s="141" t="n"/>
      <c r="B16" s="146" t="n"/>
      <c r="C16" s="249" t="n"/>
      <c r="D16" s="250" t="n"/>
      <c r="E16" s="229" t="n"/>
      <c r="F16" s="60" t="n"/>
      <c r="G16" s="60" t="n"/>
      <c r="H16" s="60" t="n"/>
      <c r="I16" s="61" t="n"/>
      <c r="J16" s="121" t="n"/>
      <c r="K16" s="74" t="inlineStr">
        <is>
          <t>requerimientos sin completar</t>
        </is>
      </c>
      <c r="L16" s="117">
        <f>L14-L15</f>
        <v/>
      </c>
      <c r="M16" s="121" t="n"/>
    </row>
    <row r="17" ht="26.25" customHeight="1" s="215">
      <c r="B17" s="149" t="n"/>
      <c r="C17" s="251" t="inlineStr">
        <is>
          <t>PÁGINA PRINCIPAL O PÁGINA DE BIENVENIDA modo claro</t>
        </is>
      </c>
      <c r="D17" s="252" t="n"/>
      <c r="E17" s="229" t="n"/>
      <c r="F17" s="60" t="n"/>
      <c r="G17" s="60" t="n"/>
      <c r="H17" s="60" t="n"/>
      <c r="I17" s="61" t="n"/>
      <c r="J17" s="121" t="n"/>
      <c r="K17" s="74" t="inlineStr">
        <is>
          <t>porcentaje</t>
        </is>
      </c>
      <c r="L17" s="119">
        <f>TEXT((L15/L14)*100,"0,00") &amp; "%"</f>
        <v/>
      </c>
      <c r="M17" s="121" t="n"/>
    </row>
    <row r="18" ht="18.75" customHeight="1" s="215">
      <c r="A18" s="152" t="n"/>
      <c r="B18" s="149" t="n">
        <v>1</v>
      </c>
      <c r="C18" s="223" t="inlineStr">
        <is>
          <t>NFF-000 – COLOR DE FONDO DE LA PAGINA WEB</t>
        </is>
      </c>
      <c r="D18" s="218" t="n"/>
      <c r="E18" s="153" t="n"/>
      <c r="F18" s="55" t="inlineStr">
        <is>
          <t>x</t>
        </is>
      </c>
      <c r="G18" s="55" t="n"/>
      <c r="H18" s="55" t="n"/>
      <c r="I18" s="56" t="n"/>
      <c r="J18" s="121" t="n"/>
      <c r="K18" s="121" t="n"/>
      <c r="L18" s="121" t="n"/>
      <c r="M18" s="121" t="n"/>
    </row>
    <row r="19" ht="18.75" customHeight="1" s="215">
      <c r="A19" s="152" t="n"/>
      <c r="B19" s="149" t="n">
        <v>2</v>
      </c>
      <c r="C19" s="223" t="inlineStr">
        <is>
          <t>NFF-001 – PÁGINA PRINCIPAL O PÁGINA DE BIENVENIDA modo claro – En la parte superior izquierda contiene el logo</t>
        </is>
      </c>
      <c r="D19" s="218" t="n"/>
      <c r="E19" s="153" t="n"/>
      <c r="F19" s="55" t="inlineStr">
        <is>
          <t>x</t>
        </is>
      </c>
      <c r="G19" s="55" t="n"/>
      <c r="H19" s="55" t="n"/>
      <c r="I19" s="56" t="n"/>
      <c r="J19" s="121" t="n"/>
      <c r="K19" s="121" t="n"/>
      <c r="L19" s="121" t="n"/>
      <c r="M19" s="121" t="n"/>
    </row>
    <row r="20" ht="18.75" customHeight="1" s="215">
      <c r="A20" s="152" t="n"/>
      <c r="B20" s="149" t="n">
        <v>3</v>
      </c>
      <c r="C20" s="223" t="inlineStr">
        <is>
          <t>NFF-002 – PÁGINA PRINCIPAL O PÁGINA DE BIENVENIDA modo claro – Color primario Naranja degradado usado en :Título principal “Reserva en tu restaurante favorito”,Botón “Buscar”,Botón “Ver disponibilidad”,</t>
        </is>
      </c>
      <c r="D20" s="218" t="n"/>
      <c r="E20" s="153" t="n"/>
      <c r="F20" s="55" t="n"/>
      <c r="G20" s="55" t="inlineStr">
        <is>
          <t>x</t>
        </is>
      </c>
      <c r="H20" s="55" t="n"/>
      <c r="I20" s="56" t="n"/>
      <c r="J20" s="121" t="n"/>
      <c r="K20" s="121" t="n"/>
      <c r="L20" s="121" t="n"/>
      <c r="M20" s="121" t="n"/>
    </row>
    <row r="21" ht="18.75" customHeight="1" s="215">
      <c r="A21" s="152" t="n"/>
      <c r="B21" s="149" t="n">
        <v>4</v>
      </c>
      <c r="C21" s="223" t="inlineStr">
        <is>
          <t>NFF-003 – PÁGINA PRINCIPAL O PÁGINA DE BIENVENIDA modo claro – Color secundario: Azul oscuro / gris azulado usado en :Botón “Iniciar Sesión”,Títulos secundarios</t>
        </is>
      </c>
      <c r="D21" s="218" t="n"/>
      <c r="E21" s="153" t="n"/>
      <c r="F21" s="55" t="inlineStr">
        <is>
          <t>x</t>
        </is>
      </c>
      <c r="G21" s="55" t="n"/>
      <c r="H21" s="55" t="n"/>
      <c r="I21" s="56" t="n"/>
      <c r="J21" s="121" t="n"/>
      <c r="K21" s="121" t="n"/>
      <c r="L21" s="121" t="n"/>
      <c r="M21" s="121" t="n"/>
    </row>
    <row r="22" ht="18.75" customHeight="1" s="215">
      <c r="A22" s="152" t="n"/>
      <c r="B22" s="149" t="n">
        <v>5</v>
      </c>
      <c r="C22" s="223" t="inlineStr">
        <is>
          <t>NFF-004 – PÁGINA PRINCIPAL O PÁGINA DE BIENVENIDA modo claro – Color de acción secundaria: Verde suave usado en:Botón “Registrarse”</t>
        </is>
      </c>
      <c r="D22" s="218" t="n"/>
      <c r="E22" s="153" t="n"/>
      <c r="F22" s="55" t="inlineStr">
        <is>
          <t>x</t>
        </is>
      </c>
      <c r="G22" s="55" t="n"/>
      <c r="H22" s="55" t="n"/>
      <c r="I22" s="56" t="n"/>
      <c r="J22" s="121" t="n"/>
      <c r="K22" s="121" t="n"/>
      <c r="L22" s="121" t="n"/>
      <c r="M22" s="121" t="n"/>
    </row>
    <row r="23" ht="18.75" customHeight="1" s="215">
      <c r="A23" s="152" t="n"/>
      <c r="B23" s="149" t="n">
        <v>6</v>
      </c>
      <c r="C23" s="223" t="inlineStr">
        <is>
          <t>NFF-005 – PÁGINA PRINCIPAL O PÁGINA DE BIENVENIDA modo claro – Fondo general:Degradado beige / crema claro</t>
        </is>
      </c>
      <c r="D23" s="218" t="n"/>
      <c r="E23" s="153" t="n"/>
      <c r="F23" s="55" t="inlineStr">
        <is>
          <t>x</t>
        </is>
      </c>
      <c r="G23" s="55" t="n"/>
      <c r="H23" s="55" t="n"/>
      <c r="I23" s="56" t="n"/>
      <c r="J23" s="121" t="n"/>
      <c r="K23" s="121" t="n"/>
      <c r="L23" s="121" t="n"/>
      <c r="M23" s="121" t="n"/>
    </row>
    <row r="24" ht="18.75" customHeight="1" s="215">
      <c r="A24" s="152" t="n"/>
      <c r="B24" s="149" t="n">
        <v>7</v>
      </c>
      <c r="C24" s="223" t="inlineStr">
        <is>
          <t>NFF-006 – PÁGINA PRINCIPAL O PÁGINA DE BIENVENIDA modo claro – Footer:Azul oscuro</t>
        </is>
      </c>
      <c r="D24" s="218" t="n"/>
      <c r="E24" s="153" t="n"/>
      <c r="F24" s="55" t="inlineStr">
        <is>
          <t>x</t>
        </is>
      </c>
      <c r="G24" s="55" t="n"/>
      <c r="H24" s="55" t="n"/>
      <c r="I24" s="56" t="n"/>
      <c r="J24" s="121" t="n"/>
      <c r="K24" s="121" t="n"/>
      <c r="L24" s="121" t="n"/>
      <c r="M24" s="121" t="n"/>
    </row>
    <row r="25" ht="18.75" customHeight="1" s="215">
      <c r="A25" s="152" t="n"/>
      <c r="B25" s="149" t="n">
        <v>8</v>
      </c>
      <c r="C25" s="223" t="inlineStr">
        <is>
          <t>NFF-007 – PÁGINA PRINCIPAL O PÁGINA DE BIENVENIDA modo claro – Fuente sans-serif moderna (ej. Inter, Poppins o similar):Título principal: mínimo 48px,Subtítulo: 20–24px, Texto normal: 14–16px,Botones: 14–16px, semibold</t>
        </is>
      </c>
      <c r="D25" s="218" t="n"/>
      <c r="E25" s="153" t="n"/>
      <c r="F25" s="55" t="inlineStr">
        <is>
          <t>x</t>
        </is>
      </c>
      <c r="G25" s="55" t="n"/>
      <c r="H25" s="55" t="n"/>
      <c r="I25" s="56" t="n"/>
      <c r="J25" s="121" t="n"/>
      <c r="K25" s="121" t="n"/>
      <c r="L25" s="121" t="n"/>
      <c r="M25" s="121" t="n"/>
    </row>
    <row r="26" ht="18.75" customHeight="1" s="215">
      <c r="A26" s="152" t="n"/>
      <c r="B26" s="149" t="n">
        <v>9</v>
      </c>
      <c r="C26" s="223" t="inlineStr">
        <is>
          <t>NFF-008 – PÁGINA PRINCIPAL O PÁGINA DE BIENVENIDA modo claro – header debe incluir al lado izquierdo el logo de "RESERVIFY"</t>
        </is>
      </c>
      <c r="D26" s="218" t="n"/>
      <c r="E26" s="153" t="n"/>
      <c r="F26" s="55" t="inlineStr">
        <is>
          <t>x</t>
        </is>
      </c>
      <c r="G26" s="55" t="n"/>
      <c r="H26" s="55" t="n"/>
      <c r="I26" s="56" t="n"/>
      <c r="J26" s="121" t="n"/>
      <c r="K26" s="121" t="n"/>
      <c r="L26" s="121" t="n"/>
      <c r="M26" s="121" t="n"/>
    </row>
    <row r="27" ht="18.75" customHeight="1" s="215">
      <c r="A27" s="152" t="n"/>
      <c r="B27" s="149" t="n">
        <v>10</v>
      </c>
      <c r="C27" s="223" t="inlineStr">
        <is>
          <t>NFF-009 – PÁGINA PRINCIPAL O PÁGINA DE BIENVENIDA modo claro – header debe incluir al lado centralel enlace "RESTAURANTES"</t>
        </is>
      </c>
      <c r="D27" s="218" t="n"/>
      <c r="E27" s="153" t="n"/>
      <c r="F27" s="55" t="inlineStr">
        <is>
          <t>x</t>
        </is>
      </c>
      <c r="G27" s="55" t="n"/>
      <c r="H27" s="55" t="n"/>
      <c r="I27" s="56" t="n"/>
      <c r="J27" s="121" t="n"/>
      <c r="K27" s="121" t="n"/>
      <c r="L27" s="121" t="n"/>
      <c r="M27" s="121" t="n"/>
    </row>
    <row r="28" ht="18.75" customHeight="1" s="215">
      <c r="A28" s="152" t="n"/>
      <c r="B28" s="149" t="n">
        <v>11</v>
      </c>
      <c r="C28" s="223" t="inlineStr">
        <is>
          <t>NFF-010 – PÁGINA PRINCIPAL O PÁGINA DE BIENVENIDA modo claro – header debe incluir al lado derecho: Botón modo oscuro (icono sol/luna), Botón “Iniciar Sesión” (color azul oscuro),Botón “Registrarse” (color verde suave)</t>
        </is>
      </c>
      <c r="D28" s="218" t="n"/>
      <c r="E28" s="153" t="n"/>
      <c r="F28" s="55" t="n"/>
      <c r="G28" s="55" t="inlineStr">
        <is>
          <t>x</t>
        </is>
      </c>
      <c r="H28" s="55" t="n"/>
      <c r="I28" s="56" t="n"/>
      <c r="J28" s="121" t="n"/>
      <c r="K28" s="121" t="n"/>
      <c r="L28" s="121" t="n"/>
      <c r="M28" s="121" t="n"/>
    </row>
    <row r="29" ht="18.75" customHeight="1" s="215">
      <c r="A29" s="152" t="n"/>
      <c r="B29" s="149" t="n">
        <v>12</v>
      </c>
      <c r="C29" s="223" t="inlineStr">
        <is>
          <t>NFF-011 – PÁGINA PRINCIPAL O PÁGINA DE BIENVENIDA modo claro – Altura máxima del header: 80px</t>
        </is>
      </c>
      <c r="D29" s="218" t="n"/>
      <c r="E29" s="153" t="n"/>
      <c r="F29" s="55" t="inlineStr">
        <is>
          <t>x</t>
        </is>
      </c>
      <c r="G29" s="55" t="n"/>
      <c r="H29" s="55" t="n"/>
      <c r="I29" s="56" t="n"/>
      <c r="J29" s="121" t="n"/>
      <c r="K29" s="121" t="n"/>
      <c r="L29" s="121" t="n"/>
      <c r="M29" s="121" t="n"/>
    </row>
    <row r="30" ht="18.75" customHeight="1" s="215">
      <c r="A30" s="152" t="n"/>
      <c r="B30" s="149" t="n">
        <v>13</v>
      </c>
      <c r="C30" s="223" t="inlineStr">
        <is>
          <t>NFF-012 – PÁGINA PRINCIPAL O PÁGINA DE BIENVENIDA modo claro – Debe permanecer fijo al hacer scroll (sticky navbar).</t>
        </is>
      </c>
      <c r="D30" s="218" t="n"/>
      <c r="E30" s="153" t="n"/>
      <c r="F30" s="55" t="inlineStr">
        <is>
          <t>x</t>
        </is>
      </c>
      <c r="G30" s="55" t="n"/>
      <c r="H30" s="55" t="n"/>
      <c r="I30" s="56" t="n"/>
      <c r="J30" s="121" t="n"/>
      <c r="K30" s="121" t="n"/>
      <c r="L30" s="121" t="n"/>
      <c r="M30" s="121" t="n"/>
    </row>
    <row r="31" ht="18.75" customHeight="1" s="215">
      <c r="A31" s="152" t="n"/>
      <c r="B31" s="149" t="n">
        <v>14</v>
      </c>
      <c r="C31" s="223" t="inlineStr">
        <is>
          <t>NFF-013 – PÁGINA PRINCIPAL O PÁGINA DE BIENVENIDA modo claro – Debe contener Título centrado horizontalmente.</t>
        </is>
      </c>
      <c r="D31" s="218" t="n"/>
      <c r="E31" s="153" t="n"/>
      <c r="F31" s="55" t="inlineStr">
        <is>
          <t>x</t>
        </is>
      </c>
      <c r="G31" s="55" t="n"/>
      <c r="H31" s="55" t="n"/>
      <c r="I31" s="56" t="n"/>
      <c r="J31" s="121" t="n"/>
      <c r="K31" s="121" t="n"/>
      <c r="L31" s="121" t="n"/>
      <c r="M31" s="121" t="n"/>
    </row>
    <row r="32" ht="18.75" customHeight="1" s="215">
      <c r="A32" s="152" t="n"/>
      <c r="B32" s="149" t="n">
        <v>15</v>
      </c>
      <c r="C32" s="223" t="inlineStr">
        <is>
          <t>NFF-014 – PÁGINA PRINCIPAL O PÁGINA DE BIENVENIDA modo claro – Debe contener Subtítulo centrado debajo.</t>
        </is>
      </c>
      <c r="D32" s="218" t="n"/>
      <c r="E32" s="153" t="n"/>
      <c r="F32" s="55" t="inlineStr">
        <is>
          <t>x</t>
        </is>
      </c>
      <c r="G32" s="55" t="n"/>
      <c r="H32" s="55" t="n"/>
      <c r="I32" s="56" t="n"/>
      <c r="J32" s="121" t="n"/>
      <c r="K32" s="121" t="n"/>
      <c r="L32" s="121" t="n"/>
      <c r="M32" s="121" t="n"/>
    </row>
    <row r="33" ht="18.75" customHeight="1" s="215">
      <c r="A33" s="152" t="n"/>
      <c r="B33" s="149" t="n">
        <v>16</v>
      </c>
      <c r="C33" s="223" t="inlineStr">
        <is>
          <t>NFF-015 – PÁGINA PRINCIPAL O PÁGINA DE BIENVENIDA modo claro – Debe contener Barra de búsqueda centrada:Ancho: 60% del contenedor en escritorio, Altura mínima: 50px, Bordes redondeados (border-radius: 30px), Ícono de lupa a la izquierda,Botón “Buscar” alineado a la derecha dentro del input.</t>
        </is>
      </c>
      <c r="D33" s="218" t="n"/>
      <c r="E33" s="153" t="n"/>
      <c r="F33" s="55" t="inlineStr">
        <is>
          <t>x</t>
        </is>
      </c>
      <c r="G33" s="55" t="n"/>
      <c r="H33" s="55" t="n"/>
      <c r="I33" s="56" t="n"/>
      <c r="J33" s="121" t="n"/>
      <c r="K33" s="121" t="n"/>
      <c r="L33" s="121" t="n"/>
      <c r="M33" s="121" t="n"/>
    </row>
    <row r="34" ht="18.75" customHeight="1" s="215">
      <c r="A34" s="152" t="n"/>
      <c r="B34" s="149" t="n">
        <v>17</v>
      </c>
      <c r="C34" s="223" t="inlineStr">
        <is>
          <t>NFF-016 – PÁGINA PRINCIPAL O PÁGINA DE BIENVENIDA modo claro – Debe contener Chips de categorías:Italiana,Japonesa,Mexicana, Mediterránea, Deben estar alineadas horizontalmente.,Border-radius: 20px, Fondo azul claro.</t>
        </is>
      </c>
      <c r="D34" s="218" t="n"/>
      <c r="E34" s="153" t="n"/>
      <c r="F34" s="55" t="inlineStr">
        <is>
          <t>x</t>
        </is>
      </c>
      <c r="G34" s="55" t="n"/>
      <c r="H34" s="55" t="n"/>
      <c r="I34" s="56" t="n"/>
      <c r="J34" s="121" t="n"/>
      <c r="K34" s="121" t="n"/>
      <c r="L34" s="121" t="n"/>
      <c r="M34" s="121" t="n"/>
    </row>
    <row r="35" ht="18.75" customHeight="1" s="215">
      <c r="A35" s="152" t="n"/>
      <c r="B35" s="149" t="n">
        <v>18</v>
      </c>
      <c r="C35" s="223" t="inlineStr">
        <is>
          <t>NFF-017 – PÁGINA PRINCIPAL O PÁGINA DE BIENVENIDA modo claro – Debe contener Opción “Usar mi ubicación actual” debajo centrado.</t>
        </is>
      </c>
      <c r="D35" s="218" t="n"/>
      <c r="E35" s="153" t="n"/>
      <c r="F35" s="55" t="inlineStr">
        <is>
          <t>x</t>
        </is>
      </c>
      <c r="G35" s="55" t="n"/>
      <c r="H35" s="55" t="n"/>
      <c r="I35" s="56" t="n"/>
      <c r="J35" s="121" t="n"/>
      <c r="K35" s="121" t="n"/>
      <c r="L35" s="121" t="n"/>
      <c r="M35" s="121" t="n"/>
    </row>
    <row r="36" ht="18.75" customHeight="1" s="215">
      <c r="A36" s="152" t="n"/>
      <c r="B36" s="149" t="n">
        <v>19</v>
      </c>
      <c r="C36" s="223" t="inlineStr">
        <is>
          <t>NFF-018 – PÁGINA PRINCIPAL O PÁGINA DE BIENVENIDA modo claro – Debe incluir Tarjetas horizontales con: Icono centrado, Nombre de cocina debajo, Sombra suave (box-shadow),Border-radius: 15px.</t>
        </is>
      </c>
      <c r="D36" s="218" t="n"/>
      <c r="E36" s="153" t="n"/>
      <c r="F36" s="55" t="inlineStr">
        <is>
          <t>x</t>
        </is>
      </c>
      <c r="G36" s="55" t="n"/>
      <c r="H36" s="55" t="n"/>
      <c r="I36" s="56" t="n"/>
      <c r="J36" s="121" t="n"/>
      <c r="K36" s="121" t="n"/>
      <c r="L36" s="121" t="n"/>
      <c r="M36" s="121" t="n"/>
    </row>
    <row r="37" ht="18.75" customHeight="1" s="215">
      <c r="A37" s="152" t="n"/>
      <c r="B37" s="149" t="n">
        <v>20</v>
      </c>
      <c r="C37" s="223" t="inlineStr">
        <is>
          <t>NFF-020 – PÁGINA PRINCIPAL O PÁGINA DE BIENVENIDA modo claro – Debe incluir:Indicadores inferiores (dots activos).</t>
        </is>
      </c>
      <c r="D37" s="218" t="n"/>
      <c r="E37" s="153" t="n"/>
      <c r="F37" s="55" t="inlineStr">
        <is>
          <t>x</t>
        </is>
      </c>
      <c r="G37" s="55" t="n"/>
      <c r="H37" s="55" t="n"/>
      <c r="I37" s="56" t="n"/>
      <c r="J37" s="121" t="n"/>
      <c r="K37" s="121" t="n"/>
      <c r="L37" s="121" t="n"/>
      <c r="M37" s="121" t="n"/>
    </row>
    <row r="38" ht="18.75" customHeight="1" s="215">
      <c r="A38" s="152" t="n"/>
      <c r="B38" s="149" t="n">
        <v>21</v>
      </c>
      <c r="C38" s="223" t="inlineStr">
        <is>
          <t>NFF-021 – PÁGINA PRINCIPAL O PÁGINA DE BIENVENIDA modo claro – Cada tarjeta debe contener: Imagen en la parte superior(opcional),Etiqueta naranja “Disponible hoy” en esquina superior derecha., Nombre del restaurante en negrita, Precio (ej. $$) alineado a la derecha, Descripción corta, Calificación con estrella, Horario, Dirección, Botón “Ver disponibilidad” ancho completo en parte inferior.</t>
        </is>
      </c>
      <c r="D38" s="218" t="n"/>
      <c r="E38" s="153" t="n"/>
      <c r="F38" s="55" t="n"/>
      <c r="G38" s="55" t="inlineStr">
        <is>
          <t>x</t>
        </is>
      </c>
      <c r="H38" s="55" t="n"/>
      <c r="I38" s="56" t="n"/>
      <c r="J38" s="121" t="n"/>
      <c r="K38" s="121" t="n"/>
      <c r="L38" s="121" t="n"/>
      <c r="M38" s="121" t="n"/>
    </row>
    <row r="39" ht="18.75" customHeight="1" s="215">
      <c r="A39" s="152" t="n"/>
      <c r="B39" s="149" t="n">
        <v>22</v>
      </c>
      <c r="C39" s="223" t="inlineStr">
        <is>
          <t>NFF-022 – PÁGINA PRINCIPAL O PÁGINA DE BIENVENIDA modo claro – Cada tarjeta debe contener: Ancho tarjeta: 300–350px.</t>
        </is>
      </c>
      <c r="D39" s="218" t="n"/>
      <c r="E39" s="153" t="n"/>
      <c r="F39" s="55" t="inlineStr">
        <is>
          <t>x</t>
        </is>
      </c>
      <c r="G39" s="55" t="n"/>
      <c r="H39" s="55" t="n"/>
      <c r="I39" s="56" t="n"/>
      <c r="J39" s="121" t="n"/>
      <c r="K39" s="121" t="n"/>
      <c r="L39" s="121" t="n"/>
      <c r="M39" s="121" t="n"/>
    </row>
    <row r="40" ht="18.75" customHeight="1" s="215">
      <c r="A40" s="152" t="n"/>
      <c r="B40" s="149" t="n">
        <v>23</v>
      </c>
      <c r="C40" s="223" t="inlineStr">
        <is>
          <t>NFF-023 – PÁGINA PRINCIPAL O PÁGINA DE BIENVENIDA modo claro – Cada tarjeta debe contener: Altura proporcional fija.</t>
        </is>
      </c>
      <c r="D40" s="218" t="n"/>
      <c r="E40" s="153" t="n"/>
      <c r="F40" s="55" t="inlineStr">
        <is>
          <t>x</t>
        </is>
      </c>
      <c r="G40" s="55" t="n"/>
      <c r="H40" s="55" t="n"/>
      <c r="I40" s="56" t="n"/>
      <c r="J40" s="121" t="n"/>
      <c r="K40" s="121" t="n"/>
      <c r="L40" s="121" t="n"/>
      <c r="M40" s="121" t="n"/>
    </row>
    <row r="41" ht="18.75" customHeight="1" s="215">
      <c r="A41" s="152" t="n"/>
      <c r="B41" s="149" t="n">
        <v>24</v>
      </c>
      <c r="C41" s="223" t="inlineStr">
        <is>
          <t>NFF-024 – PÁGINA PRINCIPAL O PÁGINA DE BIENVENIDA modo claro – Cada tarjeta debe contener efecto hover:Elevación (transform: translateY(-5px)),Cambio de borde a naranja.</t>
        </is>
      </c>
      <c r="D41" s="218" t="n"/>
      <c r="E41" s="153" t="n"/>
      <c r="F41" s="55" t="inlineStr">
        <is>
          <t>x</t>
        </is>
      </c>
      <c r="G41" s="55" t="n"/>
      <c r="H41" s="55" t="n"/>
      <c r="I41" s="56" t="n"/>
      <c r="J41" s="121" t="n"/>
      <c r="K41" s="121" t="n"/>
      <c r="L41" s="121" t="n"/>
      <c r="M41" s="121" t="n"/>
    </row>
    <row r="42" ht="18.75" customHeight="1" s="215">
      <c r="A42" s="152" t="n"/>
      <c r="B42" s="149" t="n">
        <v>25</v>
      </c>
      <c r="C42" s="223" t="inlineStr">
        <is>
          <t>NFF-025 – PÁGINA PRINCIPAL O PÁGINA DE BIENVENIDA modo claro – Debe incluir 3 columnas:Reserva Instantánea, Para Todos, Los Mejores</t>
        </is>
      </c>
      <c r="D42" s="218" t="n"/>
      <c r="E42" s="153" t="n"/>
      <c r="F42" s="55" t="n"/>
      <c r="G42" s="55" t="inlineStr">
        <is>
          <t>x</t>
        </is>
      </c>
      <c r="H42" s="55" t="n"/>
      <c r="I42" s="56" t="n"/>
      <c r="J42" s="121" t="n"/>
      <c r="K42" s="121" t="n"/>
      <c r="L42" s="121" t="n"/>
      <c r="M42" s="121" t="n"/>
    </row>
    <row r="43" ht="18.75" customHeight="1" s="215">
      <c r="A43" s="152" t="n"/>
      <c r="B43" s="149" t="n">
        <v>26</v>
      </c>
      <c r="C43" s="223" t="inlineStr">
        <is>
          <t>NFF-026 – PÁGINA PRINCIPAL O PÁGINA DE BIENVENIDA modo claro – Cada columna:Icono dentro de contenedor cuadrado con fondo suave, Título debajo, Texto descriptivo centrado.</t>
        </is>
      </c>
      <c r="D43" s="218" t="n"/>
      <c r="E43" s="153" t="n"/>
      <c r="F43" s="55" t="inlineStr">
        <is>
          <t>x</t>
        </is>
      </c>
      <c r="G43" s="55" t="n"/>
      <c r="H43" s="55" t="n"/>
      <c r="I43" s="56" t="n"/>
      <c r="J43" s="121" t="n"/>
      <c r="K43" s="121" t="n"/>
      <c r="L43" s="121" t="n"/>
      <c r="M43" s="121" t="n"/>
    </row>
    <row r="44" ht="18.75" customHeight="1" s="215">
      <c r="A44" s="152" t="n"/>
      <c r="B44" s="149" t="n">
        <v>27</v>
      </c>
      <c r="C44" s="223" t="inlineStr">
        <is>
          <t>NFF-027 – PÁGINA PRINCIPAL O PÁGINA DE BIENVENIDA modo claro – “¿Listo para tu próxima experiencia culinaria?” debe tener:Fondo degradado naranja → verde, Texto blanco. Botón blanco centrado:Border-radius: 12px, Hover: fondo gris claro.</t>
        </is>
      </c>
      <c r="D44" s="218" t="n"/>
      <c r="E44" s="153" t="n"/>
      <c r="F44" s="55" t="n"/>
      <c r="G44" s="55" t="inlineStr">
        <is>
          <t>x</t>
        </is>
      </c>
      <c r="H44" s="55" t="n"/>
      <c r="I44" s="56" t="n"/>
      <c r="J44" s="121" t="n"/>
      <c r="K44" s="121" t="n"/>
      <c r="L44" s="121" t="n"/>
      <c r="M44" s="121" t="n"/>
    </row>
    <row r="45" ht="18.75" customHeight="1" s="215">
      <c r="A45" s="152" t="n"/>
      <c r="B45" s="149" t="n">
        <v>28</v>
      </c>
      <c r="C45" s="223" t="inlineStr">
        <is>
          <t>NFF-028 – PÁGINA PRINCIPAL O PÁGINA DE BIENVENIDA modo claro – Footer Debe contener 4 columnas:, Logo + descripción, Restaurantes (Buscar / Cocinas), Empresa (Acerca de / Contacto), Soporte (Ayuda / Términos / Privacidad)</t>
        </is>
      </c>
      <c r="D45" s="218" t="n"/>
      <c r="E45" s="153" t="n"/>
      <c r="F45" s="55" t="inlineStr">
        <is>
          <t>x</t>
        </is>
      </c>
      <c r="G45" s="55" t="n"/>
      <c r="H45" s="55" t="n"/>
      <c r="I45" s="56" t="n"/>
      <c r="J45" s="121" t="n"/>
      <c r="K45" s="121" t="n"/>
      <c r="L45" s="121" t="n"/>
      <c r="M45" s="121" t="n"/>
    </row>
    <row r="46" ht="18.75" customHeight="1" s="215">
      <c r="A46" s="152" t="n"/>
      <c r="B46" s="149" t="n">
        <v>29</v>
      </c>
      <c r="C46" s="223" t="inlineStr">
        <is>
          <t>NFF-029 – PÁGINA PRINCIPAL O PÁGINA DE BIENVENIDA modo claro – El footer de tener como requisitos:Fondo azul oscuro, Texto blanco, Separador horizontal superior, Copyright centrado.</t>
        </is>
      </c>
      <c r="D46" s="218" t="n"/>
      <c r="E46" s="153" t="n"/>
      <c r="F46" s="55" t="inlineStr">
        <is>
          <t>x</t>
        </is>
      </c>
      <c r="G46" s="55" t="n"/>
      <c r="H46" s="55" t="n"/>
      <c r="I46" s="56" t="n"/>
      <c r="J46" s="121" t="n"/>
      <c r="K46" s="121" t="n"/>
      <c r="L46" s="121" t="n"/>
      <c r="M46" s="121" t="n"/>
    </row>
    <row r="47" ht="18.75" customHeight="1" s="215">
      <c r="A47" s="152" t="n"/>
      <c r="B47" s="149" t="n">
        <v>30</v>
      </c>
      <c r="C47" s="223" t="inlineStr">
        <is>
          <t>NFF-030 – PÁGINA PRINCIPAL O PÁGINA DE BIENVENIDA modo claro – Responsive Design Móvil:Navbar colapsable (hamburguesa), Tarjetas en columna,Botones full width. Tablet:2 tarjetas por fila. Escritorio:3 tarjetas por fila.</t>
        </is>
      </c>
      <c r="D47" s="218" t="n"/>
      <c r="E47" s="153" t="n"/>
      <c r="F47" s="55" t="inlineStr">
        <is>
          <t>x</t>
        </is>
      </c>
      <c r="G47" s="55" t="n"/>
      <c r="H47" s="55" t="n"/>
      <c r="I47" s="56" t="n"/>
      <c r="J47" s="121" t="n"/>
      <c r="K47" s="121" t="n"/>
      <c r="L47" s="121" t="n"/>
      <c r="M47" s="121" t="n"/>
    </row>
    <row r="48" ht="18.75" customHeight="1" s="215">
      <c r="A48" s="152" t="n"/>
      <c r="B48" s="149" t="n">
        <v>31</v>
      </c>
      <c r="C48" s="223" t="inlineStr">
        <is>
          <t>NFF-031 – PÁGINA PRINCIPAL O PÁGINA DE BIENVENIDA modo claro – Accesibilidad:Contraste mínimo 4.5:1, Botones navegables con teclado,Labels accesibles en inputs,Uso correcto de etiquetas semánticas HTML5.</t>
        </is>
      </c>
      <c r="D48" s="218" t="n"/>
      <c r="E48" s="153" t="n"/>
      <c r="F48" s="55" t="n"/>
      <c r="G48" s="55" t="inlineStr">
        <is>
          <t>x</t>
        </is>
      </c>
      <c r="H48" s="55" t="n"/>
      <c r="I48" s="56" t="n"/>
      <c r="J48" s="121" t="n"/>
      <c r="K48" s="121" t="n"/>
      <c r="L48" s="121" t="n"/>
      <c r="M48" s="121" t="n"/>
    </row>
    <row r="49" ht="18.75" customHeight="1" s="215">
      <c r="A49" s="152" t="n"/>
      <c r="B49" s="149" t="n">
        <v>32</v>
      </c>
      <c r="C49" s="223" t="inlineStr">
        <is>
          <t>NFF-032 – PÁGINA PRINCIPAL O PÁGINA DE BIENVENIDA modo claro – Rendimiento: Lazy loading en imágenes, Compresión WebP,Minificación de CSS y JS,Tiempo de carga &lt; 3 segundos.</t>
        </is>
      </c>
      <c r="D49" s="218" t="n"/>
      <c r="E49" s="153" t="n"/>
      <c r="F49" s="55" t="n"/>
      <c r="G49" s="55" t="inlineStr">
        <is>
          <t>x</t>
        </is>
      </c>
      <c r="H49" s="55" t="n"/>
      <c r="I49" s="56" t="n"/>
      <c r="J49" s="121" t="n"/>
      <c r="K49" s="121" t="n"/>
      <c r="L49" s="121" t="n"/>
      <c r="M49" s="121" t="n"/>
    </row>
    <row r="50" ht="18.75" customHeight="1" s="215">
      <c r="A50" s="152" t="n"/>
      <c r="B50" s="149" t="n">
        <v>33</v>
      </c>
      <c r="C50" s="223" t="inlineStr">
        <is>
          <t>NFF-033 – PÁGINA PRINCIPAL O PÁGINA DE BIENVENIDA modo claro – Seguridad:HTTPS obligatorio, Sanitización de inputs, Tokens JWT seguros,Protección contra(SQL Injection ,XSS, CSRF).</t>
        </is>
      </c>
      <c r="D50" s="218" t="n"/>
      <c r="E50" s="153" t="n"/>
      <c r="F50" s="55" t="inlineStr">
        <is>
          <t>x</t>
        </is>
      </c>
      <c r="G50" s="55" t="n"/>
      <c r="H50" s="55" t="n"/>
      <c r="I50" s="56" t="n"/>
      <c r="J50" s="121" t="n"/>
      <c r="K50" s="121" t="n"/>
      <c r="L50" s="121" t="n"/>
      <c r="M50" s="121" t="n"/>
    </row>
    <row r="51" ht="18.75" customHeight="1" s="215">
      <c r="A51" s="152" t="n"/>
      <c r="B51" s="149" t="n">
        <v>34</v>
      </c>
      <c r="C51" s="223" t="inlineStr">
        <is>
          <t>NFF-034 – INICIO SESIÓN - modo claro – Utilizando JavaScript, se realiza una validación de los campos del formulario. Si algún campo obligatorio está vacío al momento de presionar el botón de enviar mensaje, se mostrará un texto en color rojo indicando que el campo debe ser llenado.</t>
        </is>
      </c>
      <c r="D51" s="218" t="n"/>
      <c r="E51" s="153" t="n"/>
      <c r="F51" s="55" t="inlineStr">
        <is>
          <t>x</t>
        </is>
      </c>
      <c r="G51" s="55" t="n"/>
      <c r="H51" s="55" t="n"/>
      <c r="I51" s="56" t="n"/>
      <c r="J51" s="121" t="n"/>
      <c r="K51" s="121" t="n"/>
      <c r="L51" s="121" t="n"/>
      <c r="M51" s="121" t="n"/>
    </row>
    <row r="52" ht="18.75" customHeight="1" s="215">
      <c r="A52" s="152" t="n"/>
      <c r="B52" s="149" t="n">
        <v>35</v>
      </c>
      <c r="C52" s="223" t="inlineStr">
        <is>
          <t>NFF-035 – INICIO SESIÓN - modo claro – Fondo general: Degradado vertical en tonos beige/crema claro. Desde #e8dfd3 (parte superior) hasta #d8cfc2 (parte inferior). Debe ocupar 100% del alto y ancho de la pantalla.</t>
        </is>
      </c>
      <c r="D52" s="218" t="n"/>
      <c r="E52" s="153" t="n"/>
      <c r="F52" s="55" t="inlineStr">
        <is>
          <t>x</t>
        </is>
      </c>
      <c r="G52" s="55" t="n"/>
      <c r="H52" s="55" t="n"/>
      <c r="I52" s="56" t="n"/>
      <c r="J52" s="121" t="n"/>
      <c r="K52" s="121" t="n"/>
      <c r="L52" s="121" t="n"/>
      <c r="M52" s="121" t="n"/>
    </row>
    <row r="53" ht="18.75" customHeight="1" s="215">
      <c r="A53" s="152" t="n"/>
      <c r="B53" s="149" t="n">
        <v>36</v>
      </c>
      <c r="C53" s="223" t="inlineStr">
        <is>
          <t>NFF-036 – INICIO SESIÓN - modo claro – Contenedor del formulario: Ancho máximo 420px, ancho relativo 90% en móviles. Padding interno mínimo 32px. Fondo blanco (#ffffff). Bordes redondeados 16px. Sombra suave: 0 10px 25px rgba(0,0,0,0.08).</t>
        </is>
      </c>
      <c r="D53" s="218" t="n"/>
      <c r="E53" s="153" t="n"/>
      <c r="F53" s="55" t="inlineStr">
        <is>
          <t>x</t>
        </is>
      </c>
      <c r="G53" s="55" t="n"/>
      <c r="H53" s="55" t="n"/>
      <c r="I53" s="56" t="n"/>
      <c r="J53" s="121" t="n"/>
      <c r="K53" s="121" t="n"/>
      <c r="L53" s="121" t="n"/>
      <c r="M53" s="121" t="n"/>
    </row>
    <row r="54" ht="18.75" customHeight="1" s="215">
      <c r="A54" s="152" t="n"/>
      <c r="B54" s="149" t="n">
        <v>37</v>
      </c>
      <c r="C54" s="223" t="inlineStr">
        <is>
          <t>NFF-037 – INICIO SESIÓN - modo claro – Icono superior de seguridad: Contenedor 56px x 56px. Border-radius 12px. Degradado diagonal 135° desde #ff7a3d hasta #f4b942. Icono interno en color blanco, centrado.</t>
        </is>
      </c>
      <c r="D54" s="218" t="n"/>
      <c r="E54" s="153" t="n"/>
      <c r="F54" s="55" t="inlineStr">
        <is>
          <t>x</t>
        </is>
      </c>
      <c r="G54" s="55" t="n"/>
      <c r="H54" s="55" t="n"/>
      <c r="I54" s="56" t="n"/>
      <c r="J54" s="121" t="n"/>
      <c r="K54" s="121" t="n"/>
      <c r="L54" s="121" t="n"/>
      <c r="M54" s="121" t="n"/>
    </row>
    <row r="55" ht="18.75" customHeight="1" s="215">
      <c r="A55" s="152" t="n"/>
      <c r="B55" s="149" t="n">
        <v>38</v>
      </c>
      <c r="C55" s="223" t="inlineStr">
        <is>
          <t>NFF-038 – INICIO SESIÓN - modo claro – Título principal “Bienvenido a Reservify”: Fuente sans-serif (Inter/Poppins). Tamaño 36px–42px. Color #2b2b2b. Alineación centrada.</t>
        </is>
      </c>
      <c r="D55" s="218" t="n"/>
      <c r="E55" s="153" t="n"/>
      <c r="F55" s="55" t="inlineStr">
        <is>
          <t>x</t>
        </is>
      </c>
      <c r="G55" s="55" t="n"/>
      <c r="H55" s="55" t="n"/>
      <c r="I55" s="56" t="n"/>
      <c r="J55" s="121" t="n"/>
      <c r="K55" s="121" t="n"/>
      <c r="L55" s="121" t="n"/>
      <c r="M55" s="121" t="n"/>
    </row>
    <row r="56" ht="18.75" customHeight="1" s="215">
      <c r="A56" s="152" t="n"/>
      <c r="B56" s="149" t="n">
        <v>39</v>
      </c>
      <c r="C56" s="223" t="inlineStr">
        <is>
          <t>NFF-039 – INICIO SESIÓN - modo claro – Subtítulo “Inicia sesión en tu cuenta”: Tamaño 14px–16px. Color #6b6b6b. Centrado.</t>
        </is>
      </c>
      <c r="D56" s="218" t="n"/>
      <c r="E56" s="153" t="n"/>
      <c r="F56" s="55" t="inlineStr">
        <is>
          <t>x</t>
        </is>
      </c>
      <c r="G56" s="55" t="n"/>
      <c r="H56" s="55" t="n"/>
      <c r="I56" s="56" t="n"/>
      <c r="J56" s="121" t="n"/>
      <c r="K56" s="121" t="n"/>
      <c r="L56" s="121" t="n"/>
      <c r="M56" s="121" t="n"/>
    </row>
    <row r="57" ht="18.75" customHeight="1" s="215">
      <c r="A57" s="152" t="n"/>
      <c r="B57" s="149" t="n">
        <v>40</v>
      </c>
      <c r="C57" s="223" t="inlineStr">
        <is>
          <t>NFF-040 – INICIO SESIÓN - modo claro – Subtítulo interno “Iniciar Sesión”: Tamaño 18px–20px. Color #333333.</t>
        </is>
      </c>
      <c r="D57" s="218" t="n"/>
      <c r="E57" s="153" t="n"/>
      <c r="F57" s="55" t="inlineStr">
        <is>
          <t>x</t>
        </is>
      </c>
      <c r="G57" s="55" t="n"/>
      <c r="H57" s="55" t="n"/>
      <c r="I57" s="56" t="n"/>
      <c r="J57" s="121" t="n"/>
      <c r="K57" s="121" t="n"/>
      <c r="L57" s="121" t="n"/>
      <c r="M57" s="121" t="n"/>
    </row>
    <row r="58" ht="18.75" customHeight="1" s="215">
      <c r="A58" s="152" t="n"/>
      <c r="B58" s="149" t="n">
        <v>41</v>
      </c>
      <c r="C58" s="223" t="inlineStr">
        <is>
          <t>NFF-041 – INICIO SESIÓN - modo claro – Texto descriptivo interno: Tamaño 13px–14px. Color #777777.</t>
        </is>
      </c>
      <c r="D58" s="218" t="n"/>
      <c r="E58" s="153" t="n"/>
      <c r="F58" s="55" t="inlineStr">
        <is>
          <t>x</t>
        </is>
      </c>
      <c r="G58" s="55" t="n"/>
      <c r="H58" s="55" t="n"/>
      <c r="I58" s="56" t="n"/>
      <c r="J58" s="121" t="n"/>
      <c r="K58" s="121" t="n"/>
      <c r="L58" s="121" t="n"/>
      <c r="M58" s="121" t="n"/>
    </row>
    <row r="59" ht="18.75" customHeight="1" s="215">
      <c r="A59" s="152" t="n"/>
      <c r="B59" s="149" t="n">
        <v>42</v>
      </c>
      <c r="C59" s="223" t="inlineStr">
        <is>
          <t>NFF-042 – INICIO SESIÓN - modo claro – Campo “Correo electrónico”: Altura 48px. Fondo #f1ece6. Borde 1px sólido #d6d1c9. Border-radius 10px. Texto ingresado color #333333. Placeholder color #9a9a9a. Icono izquierdo 16px–18px color gris medio.</t>
        </is>
      </c>
      <c r="D59" s="218" t="n"/>
      <c r="E59" s="153" t="n"/>
      <c r="F59" s="55" t="inlineStr">
        <is>
          <t>x</t>
        </is>
      </c>
      <c r="G59" s="55" t="n"/>
      <c r="H59" s="55" t="n"/>
      <c r="I59" s="56" t="n"/>
      <c r="J59" s="121" t="n"/>
      <c r="K59" s="121" t="n"/>
      <c r="L59" s="121" t="n"/>
      <c r="M59" s="121" t="n"/>
    </row>
    <row r="60" ht="18.75" customHeight="1" s="215">
      <c r="A60" s="152" t="n"/>
      <c r="B60" s="149" t="n">
        <v>43</v>
      </c>
      <c r="C60" s="223" t="inlineStr">
        <is>
          <t>NFF-043 – INICIO SESIÓN - modo claro – Campo “Contraseña”: Misma altura y estilos que el campo de correo. Incluye icono izquierdo (candado) y derecho (visualización) en color gris medio. En focus: borde color #ff7a3d y sombra 0 0 0 3px rgba(255,122,61,0.15).</t>
        </is>
      </c>
      <c r="D60" s="218" t="n"/>
      <c r="E60" s="153" t="n"/>
      <c r="F60" s="55" t="inlineStr">
        <is>
          <t>x</t>
        </is>
      </c>
      <c r="G60" s="55" t="n"/>
      <c r="H60" s="55" t="n"/>
      <c r="I60" s="56" t="n"/>
      <c r="J60" s="121" t="n"/>
      <c r="K60" s="121" t="n"/>
      <c r="L60" s="121" t="n"/>
      <c r="M60" s="121" t="n"/>
    </row>
    <row r="61" ht="18.75" customHeight="1" s="215">
      <c r="A61" s="152" t="n"/>
      <c r="B61" s="149" t="n">
        <v>44</v>
      </c>
      <c r="C61" s="223" t="inlineStr">
        <is>
          <t>NFF-044 – INICIO SESIÓN - modo claro – Enlace “¿Olvidaste tu contraseña?”: Tamaño 13px–14px. Color #ff7a3d. Sin fondo. Hover: #e5672f.</t>
        </is>
      </c>
      <c r="D61" s="218" t="n"/>
      <c r="E61" s="153" t="n"/>
      <c r="F61" s="55" t="inlineStr">
        <is>
          <t>x</t>
        </is>
      </c>
      <c r="G61" s="55" t="n"/>
      <c r="H61" s="55" t="n"/>
      <c r="I61" s="56" t="n"/>
      <c r="J61" s="121" t="n"/>
      <c r="K61" s="121" t="n"/>
      <c r="L61" s="121" t="n"/>
      <c r="M61" s="121" t="n"/>
    </row>
    <row r="62" ht="18.75" customHeight="1" s="215">
      <c r="A62" s="152" t="n"/>
      <c r="B62" s="149" t="n">
        <v>45</v>
      </c>
      <c r="C62" s="223" t="inlineStr">
        <is>
          <t>NFF-045 – INICIO SESIÓN - modo claro – Botón principal “Iniciar Sesión”: Altura 50px. Ancho 100%. Fondo #ff6b35. Texto blanco #ffffff. Border-radius 10px. Hover: #e85c2a. Transición 0.3s.</t>
        </is>
      </c>
      <c r="D62" s="218" t="n"/>
      <c r="E62" s="153" t="n"/>
      <c r="F62" s="55" t="inlineStr">
        <is>
          <t>x</t>
        </is>
      </c>
      <c r="G62" s="55" t="n"/>
      <c r="H62" s="55" t="n"/>
      <c r="I62" s="56" t="n"/>
      <c r="J62" s="121" t="n"/>
      <c r="K62" s="121" t="n"/>
      <c r="L62" s="121" t="n"/>
      <c r="M62" s="121" t="n"/>
    </row>
    <row r="63" ht="18.75" customHeight="1" s="215">
      <c r="A63" s="152" t="n"/>
      <c r="B63" s="149" t="n">
        <v>46</v>
      </c>
      <c r="C63" s="223" t="inlineStr">
        <is>
          <t>NFF-046 – INICIO SESIÓN - modo claro – Separador “O continúa con”: Texto centrado 12px–13px color #8a8a8a. Líneas laterales 1px color #dddddd.</t>
        </is>
      </c>
      <c r="D63" s="218" t="n"/>
      <c r="E63" s="153" t="n"/>
      <c r="F63" s="55" t="inlineStr">
        <is>
          <t>x</t>
        </is>
      </c>
      <c r="G63" s="55" t="n"/>
      <c r="H63" s="55" t="n"/>
      <c r="I63" s="56" t="n"/>
      <c r="J63" s="121" t="n"/>
      <c r="K63" s="121" t="n"/>
      <c r="L63" s="121" t="n"/>
      <c r="M63" s="121" t="n"/>
    </row>
    <row r="64" ht="18.75" customHeight="1" s="215">
      <c r="A64" s="152" t="n"/>
      <c r="B64" s="149" t="n">
        <v>47</v>
      </c>
      <c r="C64" s="223" t="inlineStr">
        <is>
          <t>NFF-047 – INICIO SESIÓN - modo claro – Botón “Google”: Altura 48px. Fondo #f2f2f2. Borde 1px sólido #dcdcdc. Border-radius 10px. Texto #333333. Icono oficial Google alineado a la izquierda. Hover: #e6e6e6.</t>
        </is>
      </c>
      <c r="D64" s="218" t="n"/>
      <c r="E64" s="153" t="n"/>
      <c r="F64" s="55" t="n"/>
      <c r="G64" s="55" t="n"/>
      <c r="H64" s="55" t="inlineStr">
        <is>
          <t>x</t>
        </is>
      </c>
      <c r="I64" s="56" t="n"/>
      <c r="J64" s="121" t="n"/>
      <c r="K64" s="121" t="n"/>
      <c r="L64" s="121" t="n"/>
      <c r="M64" s="121" t="n"/>
    </row>
    <row r="65" ht="18.75" customHeight="1" s="215">
      <c r="A65" s="152" t="n"/>
      <c r="B65" s="149" t="n">
        <v>48</v>
      </c>
      <c r="C65" s="223" t="inlineStr">
        <is>
          <t>NFF-048 – INICIO SESIÓN - modo claro – Texto “¿No tienes una cuenta?”: Tamaño 13px–14px. Color #777777</t>
        </is>
      </c>
      <c r="D65" s="218" t="n"/>
      <c r="E65" s="153" t="n"/>
      <c r="F65" s="55" t="inlineStr">
        <is>
          <t>x</t>
        </is>
      </c>
      <c r="G65" s="55" t="n"/>
      <c r="H65" s="55" t="n"/>
      <c r="I65" s="56" t="n"/>
      <c r="J65" s="121" t="n"/>
      <c r="K65" s="121" t="n"/>
      <c r="L65" s="121" t="n"/>
      <c r="M65" s="121" t="n"/>
    </row>
    <row r="66" ht="18.75" customHeight="1" s="215">
      <c r="A66" s="152" t="n"/>
      <c r="B66" s="149" t="n">
        <v>49</v>
      </c>
      <c r="C66" s="223" t="inlineStr">
        <is>
          <t>NFF-049 – INICIO SESIÓN - modo claro – Enlace “Regístrate aquí”: Color #ff6b35. Sin fondo. Hover: #e85c2a.</t>
        </is>
      </c>
      <c r="D66" s="218" t="n"/>
      <c r="E66" s="153" t="n"/>
      <c r="F66" s="55" t="inlineStr">
        <is>
          <t>x</t>
        </is>
      </c>
      <c r="G66" s="55" t="n"/>
      <c r="H66" s="55" t="n"/>
      <c r="I66" s="56" t="n"/>
      <c r="J66" s="121" t="n"/>
      <c r="K66" s="121" t="n"/>
      <c r="L66" s="121" t="n"/>
      <c r="M66" s="121" t="n"/>
    </row>
    <row r="67" ht="18.75" customHeight="1" s="215">
      <c r="A67" s="152" t="n"/>
      <c r="B67" s="149" t="n">
        <v>50</v>
      </c>
      <c r="C67" s="223" t="inlineStr">
        <is>
          <t>NFF-050 – INICIO SESIÓN - modo claro – Texto legal inferior: Tamaño 12px. Color #9a9a9a. Alineación centrada. Espaciado horizontal uniforme entre enlaces.</t>
        </is>
      </c>
      <c r="D67" s="218" t="n"/>
      <c r="E67" s="153" t="n"/>
      <c r="F67" s="55" t="inlineStr">
        <is>
          <t>x</t>
        </is>
      </c>
      <c r="G67" s="55" t="n"/>
      <c r="H67" s="55" t="n"/>
      <c r="I67" s="56" t="n"/>
      <c r="J67" s="121" t="n"/>
      <c r="K67" s="121" t="n"/>
      <c r="L67" s="121" t="n"/>
      <c r="M67" s="121" t="n"/>
    </row>
    <row r="68" ht="18.75" customHeight="1" s="215">
      <c r="A68" s="152" t="n"/>
      <c r="B68" s="149" t="n">
        <v>51</v>
      </c>
      <c r="C68" s="223" t="inlineStr">
        <is>
          <t>NFF-051 – INICIO SESIÓN - modo claro – Botón modo claro/oscuro (icono sol): Tamaño aproximado 36px x 36px. Fondo neutro claro #f0ebe4. Border-radius 8px. Icono color #ff7a3d.</t>
        </is>
      </c>
      <c r="D68" s="218" t="n"/>
      <c r="E68" s="153" t="n"/>
      <c r="F68" s="55" t="inlineStr">
        <is>
          <t>x</t>
        </is>
      </c>
      <c r="G68" s="55" t="n"/>
      <c r="H68" s="55" t="n"/>
      <c r="I68" s="56" t="n"/>
      <c r="J68" s="121" t="n"/>
      <c r="K68" s="121" t="n"/>
      <c r="L68" s="121" t="n"/>
      <c r="M68" s="121" t="n"/>
    </row>
    <row r="69" ht="18.75" customHeight="1" s="215">
      <c r="A69" s="152" t="n"/>
      <c r="B69" s="149" t="n">
        <v>52</v>
      </c>
      <c r="C69" s="223" t="inlineStr">
        <is>
          <t>NFF-052 – INICIO SESIÓN - modo claro – Enlace superior “Volver al inicio”: Tamaño 14px. Color #ff7a3d. Sin fondo. Hover con ligera variación de tono.</t>
        </is>
      </c>
      <c r="D69" s="218" t="n"/>
      <c r="E69" s="153" t="n"/>
      <c r="F69" s="55" t="inlineStr">
        <is>
          <t>x</t>
        </is>
      </c>
      <c r="G69" s="55" t="n"/>
      <c r="H69" s="55" t="n"/>
      <c r="I69" s="56" t="n"/>
      <c r="J69" s="121" t="n"/>
      <c r="K69" s="121" t="n"/>
      <c r="L69" s="121" t="n"/>
      <c r="M69" s="121" t="n"/>
    </row>
    <row r="70" ht="18.75" customHeight="1" s="215">
      <c r="A70" s="152" t="n"/>
      <c r="B70" s="149" t="n">
        <v>53</v>
      </c>
      <c r="C70" s="223" t="inlineStr">
        <is>
          <t>NFF-053 – INICIO SESIÓN - modo claro – Enlace superior “Volver al inicio”: Tamaño 14px. Color #ff7a3d. Sin fondo. Hover con ligera variación de tono.</t>
        </is>
      </c>
      <c r="D70" s="218" t="n"/>
      <c r="E70" s="153" t="n"/>
      <c r="F70" s="55" t="inlineStr">
        <is>
          <t>x</t>
        </is>
      </c>
      <c r="G70" s="55" t="n"/>
      <c r="H70" s="55" t="n"/>
      <c r="I70" s="56" t="n"/>
      <c r="J70" s="121" t="n"/>
      <c r="K70" s="121" t="n"/>
      <c r="L70" s="121" t="n"/>
      <c r="M70" s="121" t="n"/>
    </row>
    <row r="71" ht="18.75" customHeight="1" s="215">
      <c r="A71" s="152" t="n"/>
      <c r="B71" s="149" t="n">
        <v>54</v>
      </c>
      <c r="C71" s="223" t="inlineStr">
        <is>
          <t>NFF-054 – INICIO SESIÓN - modo oscuro – Fondo general: Degradado radial oscuro centrado en el formulario. Desde negro profundo (#0f0f0f) en los bordes hacia un gris muy oscuro (#1a1a1a – #222222) en la zona central. Debe cubrir 100% del alto y ancho de la pantalla.</t>
        </is>
      </c>
      <c r="D71" s="218" t="n"/>
      <c r="E71" s="153" t="n"/>
      <c r="F71" s="55" t="inlineStr">
        <is>
          <t>x</t>
        </is>
      </c>
      <c r="G71" s="55" t="n"/>
      <c r="H71" s="55" t="n"/>
      <c r="I71" s="56" t="n"/>
      <c r="J71" s="121" t="n"/>
      <c r="K71" s="121" t="n"/>
      <c r="L71" s="121" t="n"/>
      <c r="M71" s="121" t="n"/>
    </row>
    <row r="72" ht="18.75" customHeight="1" s="215">
      <c r="A72" s="152" t="n"/>
      <c r="B72" s="149" t="n">
        <v>55</v>
      </c>
      <c r="C72" s="223" t="inlineStr">
        <is>
          <t>NFF-055 – INICIO SESIÓN - modo oscuro – Contenedor del formulario: Ancho máximo 420px. Ancho relativo 90% en dispositivos móviles. Padding interno mínimo 32px. Fondo gris muy oscuro (#1c1c1c). Borde 1px sólido rgba(255,255,255,0.05). Border-radius 16px. Sombra exterior 0 10px 30px rgba(0,0,0,0.6).</t>
        </is>
      </c>
      <c r="D72" s="218" t="n"/>
      <c r="E72" s="153" t="n"/>
      <c r="F72" s="55" t="inlineStr">
        <is>
          <t>x</t>
        </is>
      </c>
      <c r="G72" s="55" t="n"/>
      <c r="H72" s="55" t="n"/>
      <c r="I72" s="56" t="n"/>
      <c r="J72" s="121" t="n"/>
      <c r="K72" s="121" t="n"/>
      <c r="L72" s="121" t="n"/>
      <c r="M72" s="121" t="n"/>
    </row>
    <row r="73" ht="18.75" customHeight="1" s="215">
      <c r="A73" s="152" t="n"/>
      <c r="B73" s="149" t="n">
        <v>56</v>
      </c>
      <c r="C73" s="223" t="inlineStr">
        <is>
          <t>NFF-056 – INICIO SESIÓN - modo oscuro – Icono superior de seguridad: Contenedor 56px x 56px. Border-radius 12px. Degradado diagonal 135° desde #ff7a3d hasta #f4b942. Icono interno en color blanco (#ffffff), centrado.</t>
        </is>
      </c>
      <c r="D73" s="218" t="n"/>
      <c r="E73" s="153" t="n"/>
      <c r="F73" s="55" t="inlineStr">
        <is>
          <t>x</t>
        </is>
      </c>
      <c r="G73" s="55" t="n"/>
      <c r="H73" s="55" t="n"/>
      <c r="I73" s="56" t="n"/>
      <c r="J73" s="121" t="n"/>
      <c r="K73" s="121" t="n"/>
      <c r="L73" s="121" t="n"/>
      <c r="M73" s="121" t="n"/>
    </row>
    <row r="74" ht="18.75" customHeight="1" s="215">
      <c r="A74" s="152" t="n"/>
      <c r="B74" s="149" t="n">
        <v>57</v>
      </c>
      <c r="C74" s="223" t="inlineStr">
        <is>
          <t>NFF-057 – INICIO SESIÓN - modo oscuro – Título principal “Bienvenido a Reservify”: Fuente sans-serif (Inter/Poppins). Tamaño 36px–42px. Color blanco (#ffffff). Alineación centrada.</t>
        </is>
      </c>
      <c r="D74" s="218" t="n"/>
      <c r="E74" s="153" t="n"/>
      <c r="F74" s="55" t="inlineStr">
        <is>
          <t>x</t>
        </is>
      </c>
      <c r="G74" s="55" t="n"/>
      <c r="H74" s="55" t="n"/>
      <c r="I74" s="56" t="n"/>
      <c r="J74" s="121" t="n"/>
      <c r="K74" s="121" t="n"/>
      <c r="L74" s="121" t="n"/>
      <c r="M74" s="121" t="n"/>
    </row>
    <row r="75" ht="18.75" customHeight="1" s="215">
      <c r="A75" s="152" t="n"/>
      <c r="B75" s="149" t="n">
        <v>58</v>
      </c>
      <c r="C75" s="223" t="inlineStr">
        <is>
          <t>NFF-058 – INICIO SESIÓN - modo oscuro – Subtítulo “Inicia sesión en tu cuenta”: Tamaño 14px–16px. Color gris claro (#b3b3b3). Centrado.</t>
        </is>
      </c>
      <c r="D75" s="218" t="n"/>
      <c r="E75" s="153" t="n"/>
      <c r="F75" s="55" t="inlineStr">
        <is>
          <t>x</t>
        </is>
      </c>
      <c r="G75" s="55" t="n"/>
      <c r="H75" s="55" t="n"/>
      <c r="I75" s="56" t="n"/>
      <c r="J75" s="121" t="n"/>
      <c r="K75" s="121" t="n"/>
      <c r="L75" s="121" t="n"/>
      <c r="M75" s="121" t="n"/>
    </row>
    <row r="76" ht="18.75" customHeight="1" s="215">
      <c r="A76" s="152" t="n"/>
      <c r="B76" s="149" t="n">
        <v>59</v>
      </c>
      <c r="C76" s="223" t="inlineStr">
        <is>
          <t>NFF-059 – INICIO SESIÓN - modo oscuro – Subtítulo interno “Iniciar Sesión”: Tamaño 18px–20px.Color blanco (#f5f5f5).</t>
        </is>
      </c>
      <c r="D76" s="218" t="n"/>
      <c r="E76" s="153" t="n"/>
      <c r="F76" s="55" t="inlineStr">
        <is>
          <t>x</t>
        </is>
      </c>
      <c r="G76" s="55" t="n"/>
      <c r="H76" s="55" t="n"/>
      <c r="I76" s="56" t="n"/>
      <c r="J76" s="121" t="n"/>
      <c r="K76" s="121" t="n"/>
      <c r="L76" s="121" t="n"/>
      <c r="M76" s="121" t="n"/>
    </row>
    <row r="77" ht="18.75" customHeight="1" s="215">
      <c r="A77" s="152" t="n"/>
      <c r="B77" s="149" t="n">
        <v>60</v>
      </c>
      <c r="C77" s="223" t="inlineStr">
        <is>
          <t>NFF-060 – INICIO SESIÓN - modo oscuro – Texto descriptivo interno: Tamaño 13px–14px. Color gris medio (#9a9a9a).</t>
        </is>
      </c>
      <c r="D77" s="218" t="n"/>
      <c r="E77" s="153" t="n"/>
      <c r="F77" s="55" t="inlineStr">
        <is>
          <t>x</t>
        </is>
      </c>
      <c r="G77" s="55" t="n"/>
      <c r="H77" s="55" t="n"/>
      <c r="I77" s="56" t="n"/>
      <c r="J77" s="121" t="n"/>
      <c r="K77" s="121" t="n"/>
      <c r="L77" s="121" t="n"/>
      <c r="M77" s="121" t="n"/>
    </row>
    <row r="78" ht="18.75" customHeight="1" s="215">
      <c r="A78" s="152" t="n"/>
      <c r="B78" s="149" t="n">
        <v>61</v>
      </c>
      <c r="C78" s="223" t="inlineStr">
        <is>
          <t>NFF-061 – INICIO SESIÓN - modo oscuro – Campo “Correo electrónico”: Altura 48px. Fondo negro suave (#111111). Borde 1px sólido rgba(255,255,255,0.08). Border-radius 10px. Texto ingresado color blanco (#ffffff). Placeholder color #8a8a8a. Icono izquierdo 16px–18px en color gris claro (#b0b0b0).</t>
        </is>
      </c>
      <c r="D78" s="218" t="n"/>
      <c r="E78" s="153" t="n"/>
      <c r="F78" s="55" t="inlineStr">
        <is>
          <t>x</t>
        </is>
      </c>
      <c r="G78" s="55" t="n"/>
      <c r="H78" s="55" t="n"/>
      <c r="I78" s="56" t="n"/>
      <c r="J78" s="121" t="n"/>
      <c r="K78" s="121" t="n"/>
      <c r="L78" s="121" t="n"/>
      <c r="M78" s="121" t="n"/>
    </row>
    <row r="79" ht="18.75" customHeight="1" s="215">
      <c r="A79" s="152" t="n"/>
      <c r="B79" s="149" t="n">
        <v>62</v>
      </c>
      <c r="C79" s="223" t="inlineStr">
        <is>
          <t>NFF-062 – INICIO SESIÓN - modo oscuro – Campo “Contraseña”: Misma altura y estilos que el campo de correo. Incluye icono izquierdo (candado) y derecho (ojo) en color gris claro (#b0b0b0). En focus: borde color rojo corporativo (#b91c1c) y sombra 0 0 0 3px rgba(185,28,28,0.25).</t>
        </is>
      </c>
      <c r="D79" s="218" t="n"/>
      <c r="E79" s="153" t="n"/>
      <c r="F79" s="55" t="inlineStr">
        <is>
          <t>x</t>
        </is>
      </c>
      <c r="G79" s="55" t="n"/>
      <c r="H79" s="55" t="n"/>
      <c r="I79" s="56" t="n"/>
      <c r="J79" s="121" t="n"/>
      <c r="K79" s="121" t="n"/>
      <c r="L79" s="121" t="n"/>
      <c r="M79" s="121" t="n"/>
    </row>
    <row r="80" ht="18.75" customHeight="1" s="215">
      <c r="A80" s="152" t="n"/>
      <c r="B80" s="149" t="n">
        <v>63</v>
      </c>
      <c r="C80" s="223" t="inlineStr">
        <is>
          <t>NFF-063 – INICIO SESIÓN - modo oscuro – Enlace “¿Olvidaste tu contraseña?”: Tamaño 13px–14px. Color rojo corporativo (#b91c1c). Sin fondo. Hover: #991b1b.</t>
        </is>
      </c>
      <c r="D80" s="218" t="n"/>
      <c r="E80" s="153" t="n"/>
      <c r="F80" s="55" t="inlineStr">
        <is>
          <t>x</t>
        </is>
      </c>
      <c r="G80" s="55" t="n"/>
      <c r="H80" s="55" t="n"/>
      <c r="I80" s="56" t="n"/>
      <c r="J80" s="121" t="n"/>
      <c r="K80" s="121" t="n"/>
      <c r="L80" s="121" t="n"/>
      <c r="M80" s="121" t="n"/>
    </row>
    <row r="81" ht="18.75" customHeight="1" s="215">
      <c r="A81" s="152" t="n"/>
      <c r="B81" s="149" t="n">
        <v>64</v>
      </c>
      <c r="C81" s="223" t="inlineStr">
        <is>
          <t>NFF-064 – INICIO SESIÓN - modo oscuro – Botón principal “Iniciar Sesión”: Altura 50px. Ancho 100%. Fondo rojo intenso (#b91c1c). Texto blanco (#ffffff). Border-radius 10px. Hover: #991b1b. Transición 0.3s.</t>
        </is>
      </c>
      <c r="D81" s="218" t="n"/>
      <c r="E81" s="153" t="n"/>
      <c r="F81" s="55" t="inlineStr">
        <is>
          <t>x</t>
        </is>
      </c>
      <c r="G81" s="55" t="n"/>
      <c r="H81" s="55" t="n"/>
      <c r="I81" s="56" t="n"/>
      <c r="J81" s="121" t="n"/>
      <c r="K81" s="121" t="n"/>
      <c r="L81" s="121" t="n"/>
      <c r="M81" s="121" t="n"/>
    </row>
    <row r="82" ht="18.75" customHeight="1" s="215">
      <c r="A82" s="152" t="n"/>
      <c r="B82" s="149" t="n">
        <v>65</v>
      </c>
      <c r="C82" s="223" t="inlineStr">
        <is>
          <t>NFF-065 – INICIO SESIÓN - modo oscuro – Separador “O continúa con”: Texto centrado 12px–13px color #8a8a8a. Líneas laterales 1px color rgba(255,255,255,0.1).</t>
        </is>
      </c>
      <c r="D82" s="218" t="n"/>
      <c r="E82" s="153" t="n"/>
      <c r="F82" s="55" t="inlineStr">
        <is>
          <t>x</t>
        </is>
      </c>
      <c r="G82" s="55" t="n"/>
      <c r="H82" s="55" t="n"/>
      <c r="I82" s="56" t="n"/>
      <c r="J82" s="121" t="n"/>
      <c r="K82" s="121" t="n"/>
      <c r="L82" s="121" t="n"/>
      <c r="M82" s="121" t="n"/>
    </row>
    <row r="83" ht="18.75" customHeight="1" s="215">
      <c r="A83" s="152" t="n"/>
      <c r="B83" s="149" t="n">
        <v>66</v>
      </c>
      <c r="C83" s="223" t="inlineStr">
        <is>
          <t>NFF-066 – INICIO SESIÓN - modo oscuro – Botón “Google”: Altura 48px. Fondo negro sólido (#0d0d0d). Borde 1px sólido rgba(255,255,255,0.08). Border-radius 10px. Texto blanco (#ffffff). Icono oficial Google alineado a la izquierda. Hover: #1a1a1a.</t>
        </is>
      </c>
      <c r="D83" s="218" t="n"/>
      <c r="E83" s="153" t="n"/>
      <c r="F83" s="55" t="n"/>
      <c r="G83" s="55" t="n"/>
      <c r="H83" s="55" t="inlineStr">
        <is>
          <t>x</t>
        </is>
      </c>
      <c r="I83" s="56" t="n"/>
      <c r="J83" s="121" t="n"/>
      <c r="K83" s="121" t="n"/>
      <c r="L83" s="121" t="n"/>
      <c r="M83" s="121" t="n"/>
    </row>
    <row r="84" ht="18.75" customHeight="1" s="215">
      <c r="A84" s="152" t="n"/>
      <c r="B84" s="149" t="n">
        <v>67</v>
      </c>
      <c r="C84" s="223" t="inlineStr">
        <is>
          <t>NFF-067 – INICIO SESIÓN - modo oscuro – Texto “¿No tienes una cuenta?”: Tamaño 13px–14px. Color gris medio (#9a9a9a).</t>
        </is>
      </c>
      <c r="D84" s="218" t="n"/>
      <c r="E84" s="153" t="n"/>
      <c r="F84" s="55" t="inlineStr">
        <is>
          <t>x</t>
        </is>
      </c>
      <c r="G84" s="55" t="n"/>
      <c r="H84" s="55" t="n"/>
      <c r="I84" s="56" t="n"/>
      <c r="J84" s="121" t="n"/>
      <c r="K84" s="121" t="n"/>
      <c r="L84" s="121" t="n"/>
      <c r="M84" s="121" t="n"/>
    </row>
    <row r="85" ht="18.75" customHeight="1" s="215">
      <c r="A85" s="152" t="n"/>
      <c r="B85" s="149" t="n">
        <v>68</v>
      </c>
      <c r="C85" s="223" t="inlineStr">
        <is>
          <t>NFF-068 – INICIO SESIÓN - modo oscuro – Enlace “Regístrate aquí”: Color rojo corporativo (#b91c1c). Hover: #991b1b.</t>
        </is>
      </c>
      <c r="D85" s="218" t="n"/>
      <c r="E85" s="153" t="n"/>
      <c r="F85" s="55" t="inlineStr">
        <is>
          <t>x</t>
        </is>
      </c>
      <c r="G85" s="55" t="n"/>
      <c r="H85" s="55" t="n"/>
      <c r="I85" s="56" t="n"/>
      <c r="J85" s="121" t="n"/>
      <c r="K85" s="121" t="n"/>
      <c r="L85" s="121" t="n"/>
      <c r="M85" s="121" t="n"/>
    </row>
    <row r="86" ht="18.75" customHeight="1" s="215">
      <c r="A86" s="152" t="n"/>
      <c r="B86" s="149" t="n">
        <v>69</v>
      </c>
      <c r="C86" s="223" t="inlineStr">
        <is>
          <t>NFF-069 – INICIO SESIÓN - modo oscuro – Texto legal inferior: Tamaño 12px. Color gris tenue (#7a7a7a). Alineación centrada. Separación uniforme entre enlaces.</t>
        </is>
      </c>
      <c r="D86" s="218" t="n"/>
      <c r="E86" s="153" t="n"/>
      <c r="F86" s="55" t="inlineStr">
        <is>
          <t>x</t>
        </is>
      </c>
      <c r="G86" s="55" t="n"/>
      <c r="H86" s="55" t="n"/>
      <c r="I86" s="56" t="n"/>
      <c r="J86" s="121" t="n"/>
      <c r="K86" s="121" t="n"/>
      <c r="L86" s="121" t="n"/>
      <c r="M86" s="121" t="n"/>
    </row>
    <row r="87" ht="18.75" customHeight="1" s="215">
      <c r="A87" s="152" t="n"/>
      <c r="B87" s="149" t="n">
        <v>70</v>
      </c>
      <c r="C87" s="223" t="inlineStr">
        <is>
          <t>NFF-070 – INICIO SESIÓN - modo oscuro – Botón modo oscuro (icono luna): Tamaño aproximado 36px x 36px. Fondo negro suave (#111111). Border-radius 8px. Icono color rojo (#b91c1c) o blanco según contraste.</t>
        </is>
      </c>
      <c r="D87" s="218" t="n"/>
      <c r="E87" s="153" t="n"/>
      <c r="F87" s="55" t="inlineStr">
        <is>
          <t>x</t>
        </is>
      </c>
      <c r="G87" s="55" t="n"/>
      <c r="H87" s="55" t="n"/>
      <c r="I87" s="56" t="n"/>
      <c r="J87" s="121" t="n"/>
      <c r="K87" s="121" t="n"/>
      <c r="L87" s="121" t="n"/>
      <c r="M87" s="121" t="n"/>
    </row>
    <row r="88" ht="18.75" customHeight="1" s="215">
      <c r="A88" s="152" t="n"/>
      <c r="B88" s="149" t="n">
        <v>71</v>
      </c>
      <c r="C88" s="223" t="inlineStr">
        <is>
          <t>NFF-071 – INICIO SESIÓN - modo oscuro – Enlace superior “Volver al inicio”: Tamaño 14px. Color rojo corporativo (#b91c1c). Sin fondo. Hover con ligera variación a #991b1b.</t>
        </is>
      </c>
      <c r="D88" s="218" t="n"/>
      <c r="E88" s="153" t="n"/>
      <c r="F88" s="55" t="inlineStr">
        <is>
          <t>x</t>
        </is>
      </c>
      <c r="G88" s="55" t="n"/>
      <c r="H88" s="55" t="n"/>
      <c r="I88" s="56" t="n"/>
      <c r="J88" s="121" t="n"/>
      <c r="K88" s="121" t="n"/>
      <c r="L88" s="121" t="n"/>
      <c r="M88" s="121" t="n"/>
    </row>
    <row r="89" ht="18.75" customHeight="1" s="215">
      <c r="A89" s="152" t="n"/>
      <c r="B89" s="149" t="n">
        <v>72</v>
      </c>
      <c r="C89" s="223" t="inlineStr">
        <is>
          <t>NFF-072 – REGISTRO - modo claro – Fondo general: Degradado claro y cálido, transición suave desde beige muy claro (#f5f1ea) en los bordes hacia crema ligeramente más profundo (#ebe4d8 – #e6dccb). Debe cubrir el 100% del alto y ancho de la pantalla.</t>
        </is>
      </c>
      <c r="D89" s="218" t="n"/>
      <c r="E89" s="153" t="n"/>
      <c r="F89" s="55" t="inlineStr">
        <is>
          <t>x</t>
        </is>
      </c>
      <c r="G89" s="55" t="n"/>
      <c r="H89" s="55" t="n"/>
      <c r="I89" s="56" t="n"/>
      <c r="J89" s="121" t="n"/>
      <c r="K89" s="121" t="n"/>
      <c r="L89" s="121" t="n"/>
      <c r="M89" s="121" t="n"/>
    </row>
    <row r="90" ht="18.75" customHeight="1" s="215">
      <c r="A90" s="152" t="n"/>
      <c r="B90" s="149" t="n">
        <v>73</v>
      </c>
      <c r="C90" s="223" t="inlineStr">
        <is>
          <t>NFF-073 – REGISTRO - modo claro – Contenedor del formulario: Ancho máximo 420px y 90% en móviles. Padding interno 32px. Fondo blanco (#ffffff). Borde 1px rgba. Border-radius 16px. Sombra 0 10px 30px.</t>
        </is>
      </c>
      <c r="D90" s="218" t="n"/>
      <c r="E90" s="153" t="n"/>
      <c r="F90" s="55" t="inlineStr">
        <is>
          <t>x</t>
        </is>
      </c>
      <c r="G90" s="55" t="n"/>
      <c r="H90" s="55" t="n"/>
      <c r="I90" s="56" t="n"/>
      <c r="J90" s="121" t="n"/>
      <c r="K90" s="121" t="n"/>
      <c r="L90" s="121" t="n"/>
      <c r="M90" s="121" t="n"/>
    </row>
    <row r="91" ht="18.75" customHeight="1" s="215">
      <c r="A91" s="152" t="n"/>
      <c r="B91" s="149" t="n">
        <v>74</v>
      </c>
      <c r="C91" s="223" t="inlineStr">
        <is>
          <t>NFF-074 – REGISTRO - modo claro – Icono superior de seguridad: 56px x 56px. Border-radius 14px. Degradado desde #ff7a3d hasta #7cbf9e. Icono blanco (#ffffff) centrado. Sombra sutil 0 8px 20px.</t>
        </is>
      </c>
      <c r="D91" s="218" t="n"/>
      <c r="E91" s="153" t="n"/>
      <c r="F91" s="55" t="inlineStr">
        <is>
          <t>x</t>
        </is>
      </c>
      <c r="G91" s="55" t="n"/>
      <c r="H91" s="55" t="n"/>
      <c r="I91" s="56" t="n"/>
      <c r="J91" s="121" t="n"/>
      <c r="K91" s="121" t="n"/>
      <c r="L91" s="121" t="n"/>
      <c r="M91" s="121" t="n"/>
    </row>
    <row r="92" ht="18.75" customHeight="1" s="215">
      <c r="A92" s="152" t="n"/>
      <c r="B92" s="149" t="n">
        <v>75</v>
      </c>
      <c r="C92" s="223" t="inlineStr">
        <is>
          <t>NFF-075 – REGISTRO - modo claro – Título principal “Bienvenido a Reservify”: Fuente sans-serif (Inter/Poppins). Tamaño 36px–42px. Color gris muy oscuro (#222222). Centrado.</t>
        </is>
      </c>
      <c r="D92" s="218" t="n"/>
      <c r="E92" s="153" t="n"/>
      <c r="F92" s="55" t="inlineStr">
        <is>
          <t>x</t>
        </is>
      </c>
      <c r="G92" s="55" t="n"/>
      <c r="H92" s="55" t="n"/>
      <c r="I92" s="56" t="n"/>
      <c r="J92" s="121" t="n"/>
      <c r="K92" s="121" t="n"/>
      <c r="L92" s="121" t="n"/>
      <c r="M92" s="121" t="n"/>
    </row>
    <row r="93" ht="18.75" customHeight="1" s="215">
      <c r="A93" s="152" t="n"/>
      <c r="B93" s="149" t="n">
        <v>76</v>
      </c>
      <c r="C93" s="223" t="inlineStr">
        <is>
          <t>NFF-076 – REGISTRO - modo claro – Subtítulo “Registra tu cuenta de Reservify”: Tamaño 14px–16px. Color gris medio (#6b7280). Centrado.</t>
        </is>
      </c>
      <c r="D93" s="218" t="n"/>
      <c r="E93" s="153" t="n"/>
      <c r="F93" s="55" t="inlineStr">
        <is>
          <t>x</t>
        </is>
      </c>
      <c r="G93" s="55" t="n"/>
      <c r="H93" s="55" t="n"/>
      <c r="I93" s="56" t="n"/>
      <c r="J93" s="121" t="n"/>
      <c r="K93" s="121" t="n"/>
      <c r="L93" s="121" t="n"/>
      <c r="M93" s="121" t="n"/>
    </row>
    <row r="94" ht="18.75" customHeight="1" s="215">
      <c r="A94" s="152" t="n"/>
      <c r="B94" s="149" t="n">
        <v>77</v>
      </c>
      <c r="C94" s="223" t="inlineStr">
        <is>
          <t>NFF-077 – REGISTRO - modo claro – Subtítulo interno “Crea tu cuenta”: Tamaño 18px–20px. Color gris oscuro (#2b2b2b).</t>
        </is>
      </c>
      <c r="D94" s="218" t="n"/>
      <c r="E94" s="153" t="n"/>
      <c r="F94" s="55" t="inlineStr">
        <is>
          <t>x</t>
        </is>
      </c>
      <c r="G94" s="55" t="n"/>
      <c r="H94" s="55" t="n"/>
      <c r="I94" s="56" t="n"/>
      <c r="J94" s="121" t="n"/>
      <c r="K94" s="121" t="n"/>
      <c r="L94" s="121" t="n"/>
      <c r="M94" s="121" t="n"/>
    </row>
    <row r="95" ht="18.75" customHeight="1" s="215">
      <c r="A95" s="152" t="n"/>
      <c r="B95" s="149" t="n">
        <v>78</v>
      </c>
      <c r="C95" s="223" t="inlineStr">
        <is>
          <t>NFF-078 – REGISTRO - modo claro – Texto descriptivo “Ingresa tus datos para crear tu cuenta”: Tamaño 13px–14px. Color gris medio (#8a8a8a).</t>
        </is>
      </c>
      <c r="D95" s="218" t="n"/>
      <c r="E95" s="153" t="n"/>
      <c r="F95" s="55" t="inlineStr">
        <is>
          <t>x</t>
        </is>
      </c>
      <c r="G95" s="55" t="n"/>
      <c r="H95" s="55" t="n"/>
      <c r="I95" s="56" t="n"/>
      <c r="J95" s="121" t="n"/>
      <c r="K95" s="121" t="n"/>
      <c r="L95" s="121" t="n"/>
      <c r="M95" s="121" t="n"/>
    </row>
    <row r="96" ht="18.75" customHeight="1" s="215">
      <c r="A96" s="152" t="n"/>
      <c r="B96" s="149" t="n">
        <v>79</v>
      </c>
      <c r="C96" s="223" t="inlineStr">
        <is>
          <t>NFF-079 – REGISTRO - modo claro – Campo “Correo electrónico”: Altura 48px. Fondo gris claro (#f3f4f6). Borde 1px rgba. Border-radius 10px. Texto #222222. Placeholder #9ca3af. Icono izquierdo gris (#9a9a9a).</t>
        </is>
      </c>
      <c r="D96" s="218" t="n"/>
      <c r="E96" s="153" t="n"/>
      <c r="F96" s="55" t="inlineStr">
        <is>
          <t>x</t>
        </is>
      </c>
      <c r="G96" s="55" t="n"/>
      <c r="H96" s="55" t="n"/>
      <c r="I96" s="56" t="n"/>
      <c r="J96" s="121" t="n"/>
      <c r="K96" s="121" t="n"/>
      <c r="L96" s="121" t="n"/>
      <c r="M96" s="121" t="n"/>
    </row>
    <row r="97" ht="18.75" customHeight="1" s="215">
      <c r="A97" s="152" t="n"/>
      <c r="B97" s="149" t="n">
        <v>80</v>
      </c>
      <c r="C97" s="223" t="inlineStr">
        <is>
          <t>NFF-080 – REGISTRO - modo claro – Campo “Contraseña”: Mismos estilos que correo. Icono izquierdo candado y derecho ojo en gris (#9a9a9a).</t>
        </is>
      </c>
      <c r="D97" s="218" t="n"/>
      <c r="E97" s="153" t="n"/>
      <c r="F97" s="55" t="inlineStr">
        <is>
          <t>x</t>
        </is>
      </c>
      <c r="G97" s="55" t="n"/>
      <c r="H97" s="55" t="n"/>
      <c r="I97" s="56" t="n"/>
      <c r="J97" s="121" t="n"/>
      <c r="K97" s="121" t="n"/>
      <c r="L97" s="121" t="n"/>
      <c r="M97" s="121" t="n"/>
    </row>
    <row r="98" ht="18.75" customHeight="1" s="215">
      <c r="A98" s="152" t="n"/>
      <c r="B98" s="149" t="n">
        <v>81</v>
      </c>
      <c r="C98" s="223" t="inlineStr">
        <is>
          <t>NFF-081 – REGISTRO - modo claro – Campo “Confirmar contraseña”: Mismos estilos. Validación en tiempo real.</t>
        </is>
      </c>
      <c r="D98" s="218" t="n"/>
      <c r="E98" s="153" t="n"/>
      <c r="F98" s="55" t="inlineStr">
        <is>
          <t>x</t>
        </is>
      </c>
      <c r="G98" s="55" t="n"/>
      <c r="H98" s="55" t="n"/>
      <c r="I98" s="56" t="n"/>
      <c r="J98" s="121" t="n"/>
      <c r="K98" s="121" t="n"/>
      <c r="L98" s="121" t="n"/>
      <c r="M98" s="121" t="n"/>
    </row>
    <row r="99" ht="18.75" customHeight="1" s="215">
      <c r="A99" s="152" t="n"/>
      <c r="B99" s="149" t="n">
        <v>82</v>
      </c>
      <c r="C99" s="223" t="inlineStr">
        <is>
          <t>NFF-082 – REGISTRO - modo claro – Enlace “¿Olvidaste tu contraseña?”: Tamaño 13px–14px. Color #ff7a3d. Hover #e5672f.</t>
        </is>
      </c>
      <c r="D99" s="218" t="n"/>
      <c r="E99" s="153" t="n"/>
      <c r="F99" s="55" t="inlineStr">
        <is>
          <t>x</t>
        </is>
      </c>
      <c r="G99" s="55" t="n"/>
      <c r="H99" s="55" t="n"/>
      <c r="I99" s="56" t="n"/>
      <c r="J99" s="121" t="n"/>
      <c r="K99" s="121" t="n"/>
      <c r="L99" s="121" t="n"/>
      <c r="M99" s="121" t="n"/>
    </row>
    <row r="100" ht="18.75" customHeight="1" s="215">
      <c r="A100" s="152" t="n"/>
      <c r="B100" s="149" t="n">
        <v>83</v>
      </c>
      <c r="C100" s="223" t="inlineStr">
        <is>
          <t>NFF-083 – REGISTRO - modo claro – Botón principal “Continuar”: Altura 50px. Ancho 100%. Degradado horizontal #ff7a3d a #7cbf9e. Texto blanco (#ffffff). Border-radius 12px. Sombra 0 8px 20px. Hover con ligera elevación y transición 0.3s. fondo #d1d5db y texto #6b7280.</t>
        </is>
      </c>
      <c r="D100" s="218" t="n"/>
      <c r="E100" s="153" t="n"/>
      <c r="F100" s="55" t="inlineStr">
        <is>
          <t>x</t>
        </is>
      </c>
      <c r="G100" s="55" t="n"/>
      <c r="H100" s="55" t="n"/>
      <c r="I100" s="56" t="n"/>
      <c r="J100" s="121" t="n"/>
      <c r="K100" s="121" t="n"/>
      <c r="L100" s="121" t="n"/>
      <c r="M100" s="121" t="n"/>
    </row>
    <row r="101" ht="18.75" customHeight="1" s="215">
      <c r="A101" s="152" t="n"/>
      <c r="B101" s="149" t="n">
        <v>84</v>
      </c>
      <c r="C101" s="223" t="inlineStr">
        <is>
          <t>NFF-084 – REGISTRO - modo claro – Separador “O continúa con”: Texto centrado 12px–13px color #9ca3af. Líneas laterales 1px.</t>
        </is>
      </c>
      <c r="D101" s="218" t="n"/>
      <c r="E101" s="153" t="n"/>
      <c r="F101" s="55" t="inlineStr">
        <is>
          <t>x</t>
        </is>
      </c>
      <c r="G101" s="55" t="n"/>
      <c r="H101" s="55" t="n"/>
      <c r="I101" s="56" t="n"/>
      <c r="J101" s="121" t="n"/>
      <c r="K101" s="121" t="n"/>
      <c r="L101" s="121" t="n"/>
      <c r="M101" s="121" t="n"/>
    </row>
    <row r="102" ht="18.75" customHeight="1" s="215">
      <c r="A102" s="152" t="n"/>
      <c r="B102" s="149" t="n">
        <v>85</v>
      </c>
      <c r="C102" s="223" t="inlineStr">
        <is>
          <t>NFF-085 – REGISTRO - modo claro – Botón “Google”: Altura 48px. Fondo blanco (#ffffff). Borde 1px. Border-radius 10px. Texto #222222. Hover #f3f4f6.</t>
        </is>
      </c>
      <c r="D102" s="218" t="n"/>
      <c r="E102" s="153" t="n"/>
      <c r="F102" s="55" t="n"/>
      <c r="G102" s="55" t="n"/>
      <c r="H102" s="55" t="inlineStr">
        <is>
          <t>x</t>
        </is>
      </c>
      <c r="I102" s="56" t="n"/>
      <c r="J102" s="121" t="n"/>
      <c r="K102" s="121" t="n"/>
      <c r="L102" s="121" t="n"/>
      <c r="M102" s="121" t="n"/>
    </row>
    <row r="103" ht="18.75" customHeight="1" s="215">
      <c r="A103" s="152" t="n"/>
      <c r="B103" s="149" t="n">
        <v>86</v>
      </c>
      <c r="C103" s="223" t="inlineStr">
        <is>
          <t>NFF-086 – REGISTRO - modo claro – Texto inferior y enlaces secundarios: Tamaño 12px–14px. Color gris medio (#9ca3af). Enlaces en #ff7a3d con hover #e5672f.</t>
        </is>
      </c>
      <c r="D103" s="218" t="n"/>
      <c r="E103" s="153" t="n"/>
      <c r="F103" s="55" t="inlineStr">
        <is>
          <t>x</t>
        </is>
      </c>
      <c r="G103" s="55" t="n"/>
      <c r="H103" s="55" t="n"/>
      <c r="I103" s="56" t="n"/>
      <c r="J103" s="121" t="n"/>
      <c r="K103" s="121" t="n"/>
      <c r="L103" s="121" t="n"/>
      <c r="M103" s="121" t="n"/>
    </row>
    <row r="104" ht="18.75" customHeight="1" s="215">
      <c r="A104" s="152" t="n"/>
      <c r="B104" s="149" t="n">
        <v>87</v>
      </c>
      <c r="C104" s="223" t="inlineStr">
        <is>
          <t>NFF-087 – REGISTRO - modo claro – Botón modo oscuro (icono luna): 36px x 36px. Fondo blanco (#ffffff). Borde 1px rgba. Border-radius 8px. Icono gris oscuro (#444444).</t>
        </is>
      </c>
      <c r="D104" s="218" t="n"/>
      <c r="E104" s="153" t="n"/>
      <c r="F104" s="55" t="inlineStr">
        <is>
          <t>x</t>
        </is>
      </c>
      <c r="G104" s="55" t="n"/>
      <c r="H104" s="55" t="n"/>
      <c r="I104" s="56" t="n"/>
      <c r="J104" s="121" t="n"/>
      <c r="K104" s="121" t="n"/>
      <c r="L104" s="121" t="n"/>
      <c r="M104" s="121" t="n"/>
    </row>
    <row r="105" ht="18.75" customHeight="1" s="215">
      <c r="A105" s="152" t="n"/>
      <c r="B105" s="149" t="n">
        <v>88</v>
      </c>
      <c r="C105" s="223" t="inlineStr">
        <is>
          <t>NFF-088 – REGISTRO - modo claro – Enlace superior “Volver al inicio”: Tamaño 14px. Color #ff7a3d. Hover #e5672f.</t>
        </is>
      </c>
      <c r="D105" s="218" t="n"/>
      <c r="E105" s="153" t="n"/>
      <c r="F105" s="55" t="inlineStr">
        <is>
          <t>x</t>
        </is>
      </c>
      <c r="G105" s="55" t="n"/>
      <c r="H105" s="55" t="n"/>
      <c r="I105" s="56" t="n"/>
      <c r="J105" s="121" t="n"/>
      <c r="K105" s="121" t="n"/>
      <c r="L105" s="121" t="n"/>
      <c r="M105" s="121" t="n"/>
    </row>
    <row r="106" ht="18.75" customHeight="1" s="215">
      <c r="A106" s="152" t="n"/>
      <c r="B106" s="149" t="n">
        <v>89</v>
      </c>
      <c r="C106" s="223" t="inlineStr">
        <is>
          <t>NFF-089 – REGISTRO - modo oscuro – Fondo general: Fondo oscuro uniforme con ligera variación hacia el centro. Predomina negro profundo (#0f0f0f – #121212) cubriendo el 100% del alto y ancho de la pantalla.</t>
        </is>
      </c>
      <c r="D106" s="218" t="n"/>
      <c r="E106" s="153" t="n"/>
      <c r="F106" s="55" t="inlineStr">
        <is>
          <t>x</t>
        </is>
      </c>
      <c r="G106" s="55" t="n"/>
      <c r="H106" s="55" t="n"/>
      <c r="I106" s="56" t="n"/>
      <c r="J106" s="121" t="n"/>
      <c r="K106" s="121" t="n"/>
      <c r="L106" s="121" t="n"/>
      <c r="M106" s="121" t="n"/>
    </row>
    <row r="107" ht="18.75" customHeight="1" s="215">
      <c r="A107" s="152" t="n"/>
      <c r="B107" s="149" t="n">
        <v>90</v>
      </c>
      <c r="C107" s="223" t="inlineStr">
        <is>
          <t>NFF-090 – REGISTRO - modo oscuro – Contenedor del formulario: Ancho aproximado 420px, centrado. Fondo gris muy oscuro (#1a1a1a – #1c1c1c). Bordes redondeados (aprox. 16px). Sombra exterior suave que lo separa del fondo.</t>
        </is>
      </c>
      <c r="D107" s="218" t="n"/>
      <c r="E107" s="153" t="n"/>
      <c r="F107" s="55" t="inlineStr">
        <is>
          <t>x</t>
        </is>
      </c>
      <c r="G107" s="55" t="n"/>
      <c r="H107" s="55" t="n"/>
      <c r="I107" s="56" t="n"/>
      <c r="J107" s="121" t="n"/>
      <c r="K107" s="121" t="n"/>
      <c r="L107" s="121" t="n"/>
      <c r="M107" s="121" t="n"/>
    </row>
    <row r="108" ht="18.75" customHeight="1" s="215">
      <c r="A108" s="152" t="n"/>
      <c r="B108" s="149" t="n">
        <v>91</v>
      </c>
      <c r="C108" s="223" t="inlineStr">
        <is>
          <t>NFF-091 – REGISTRO - modo oscuro – Icono superior de seguridad: Contenedor cuadrado con bordes redondeados (aprox. 12px–14px). Degradado diagonal en tonos naranja. Icono de candado blanco centrado.</t>
        </is>
      </c>
      <c r="D108" s="218" t="n"/>
      <c r="E108" s="153" t="n"/>
      <c r="F108" s="55" t="inlineStr">
        <is>
          <t>x</t>
        </is>
      </c>
      <c r="G108" s="55" t="n"/>
      <c r="H108" s="55" t="n"/>
      <c r="I108" s="56" t="n"/>
      <c r="J108" s="121" t="n"/>
      <c r="K108" s="121" t="n"/>
      <c r="L108" s="121" t="n"/>
      <c r="M108" s="121" t="n"/>
    </row>
    <row r="109" ht="18.75" customHeight="1" s="215">
      <c r="A109" s="152" t="n"/>
      <c r="B109" s="149" t="n">
        <v>92</v>
      </c>
      <c r="C109" s="223" t="inlineStr">
        <is>
          <t>NFF-092 – REGISTRO - modo oscuro – Título principal “Bienvenido a Reservify”: Tamaño grande (aprox. 36px–42px). Color blanco (#ffffff). Alineación centrada.</t>
        </is>
      </c>
      <c r="D109" s="218" t="n"/>
      <c r="E109" s="153" t="n"/>
      <c r="F109" s="55" t="inlineStr">
        <is>
          <t>x</t>
        </is>
      </c>
      <c r="G109" s="55" t="n"/>
      <c r="H109" s="55" t="n"/>
      <c r="I109" s="56" t="n"/>
      <c r="J109" s="121" t="n"/>
      <c r="K109" s="121" t="n"/>
      <c r="L109" s="121" t="n"/>
      <c r="M109" s="121" t="n"/>
    </row>
    <row r="110" ht="18.75" customHeight="1" s="215">
      <c r="A110" s="152" t="n"/>
      <c r="B110" s="149" t="n">
        <v>93</v>
      </c>
      <c r="C110" s="223" t="inlineStr">
        <is>
          <t>NFF-093 – REGISTRO - modo oscuro – Subtítulo “Registra tu cuenta de Reservify”: Tamaño pequeño (aprox. 14px–16px). Color gris claro (#b3b3b3). Centrado.</t>
        </is>
      </c>
      <c r="D110" s="218" t="n"/>
      <c r="E110" s="153" t="n"/>
      <c r="F110" s="55" t="inlineStr">
        <is>
          <t>x</t>
        </is>
      </c>
      <c r="G110" s="55" t="n"/>
      <c r="H110" s="55" t="n"/>
      <c r="I110" s="56" t="n"/>
      <c r="J110" s="121" t="n"/>
      <c r="K110" s="121" t="n"/>
      <c r="L110" s="121" t="n"/>
      <c r="M110" s="121" t="n"/>
    </row>
    <row r="111" ht="18.75" customHeight="1" s="215">
      <c r="A111" s="152" t="n"/>
      <c r="B111" s="149" t="n">
        <v>94</v>
      </c>
      <c r="C111" s="223" t="inlineStr">
        <is>
          <t>NFF-094 – REGISTRO - modo oscuro – Subtítulo interno “Crea tu cuenta”: Tamaño medio (aprox. 18px–20px). Color blanco o gris muy claro. Centrado dentro del formulario.</t>
        </is>
      </c>
      <c r="D111" s="218" t="n"/>
      <c r="E111" s="153" t="n"/>
      <c r="F111" s="55" t="inlineStr">
        <is>
          <t>x</t>
        </is>
      </c>
      <c r="G111" s="55" t="n"/>
      <c r="H111" s="55" t="n"/>
      <c r="I111" s="56" t="n"/>
      <c r="J111" s="121" t="n"/>
      <c r="K111" s="121" t="n"/>
      <c r="L111" s="121" t="n"/>
      <c r="M111" s="121" t="n"/>
    </row>
    <row r="112" ht="18.75" customHeight="1" s="215">
      <c r="A112" s="152" t="n"/>
      <c r="B112" s="149" t="n">
        <v>95</v>
      </c>
      <c r="C112" s="223" t="inlineStr">
        <is>
          <t>NFF-095 – REGISTRO - modo oscuro – Texto descriptivo “Ingresa tus datos para crear tu cuenta”: Tamaño pequeño (aprox. 13px–14px). Color gris medio.</t>
        </is>
      </c>
      <c r="D112" s="218" t="n"/>
      <c r="E112" s="153" t="n"/>
      <c r="F112" s="55" t="inlineStr">
        <is>
          <t>x</t>
        </is>
      </c>
      <c r="G112" s="55" t="n"/>
      <c r="H112" s="55" t="n"/>
      <c r="I112" s="56" t="n"/>
      <c r="J112" s="121" t="n"/>
      <c r="K112" s="121" t="n"/>
      <c r="L112" s="121" t="n"/>
      <c r="M112" s="121" t="n"/>
    </row>
    <row r="113" ht="18.75" customHeight="1" s="215">
      <c r="A113" s="152" t="n"/>
      <c r="B113" s="149" t="n">
        <v>96</v>
      </c>
      <c r="C113" s="223" t="inlineStr">
        <is>
          <t>NFF-096 – REGISTRO - modo oscuro – Campo “Correo electrónico”: Altura aproximada 48px. Fondo negro/gris muy oscuro (#111111). Borde sutil más claro que el fondo. Border-radius cercano a 10px. Texto blanco. Placeholder en gris. Icono izquierdo en gris claro.</t>
        </is>
      </c>
      <c r="D113" s="218" t="n"/>
      <c r="E113" s="153" t="n"/>
      <c r="F113" s="55" t="inlineStr">
        <is>
          <t>x</t>
        </is>
      </c>
      <c r="G113" s="55" t="n"/>
      <c r="H113" s="55" t="n"/>
      <c r="I113" s="56" t="n"/>
      <c r="J113" s="121" t="n"/>
      <c r="K113" s="121" t="n"/>
      <c r="L113" s="121" t="n"/>
      <c r="M113" s="121" t="n"/>
    </row>
    <row r="114" ht="18.75" customHeight="1" s="215">
      <c r="A114" s="152" t="n"/>
      <c r="B114" s="149" t="n">
        <v>97</v>
      </c>
      <c r="C114" s="223" t="inlineStr">
        <is>
          <t>NFF-097 – REGISTRO - modo oscuro – Campo “Contraseña”: Mismos estilos que el campo de correo. Incluye icono izquierdo (candado) y derecho (ojo) en gris claro.</t>
        </is>
      </c>
      <c r="D114" s="218" t="n"/>
      <c r="E114" s="153" t="n"/>
      <c r="F114" s="55" t="inlineStr">
        <is>
          <t>x</t>
        </is>
      </c>
      <c r="G114" s="55" t="n"/>
      <c r="H114" s="55" t="n"/>
      <c r="I114" s="56" t="n"/>
      <c r="J114" s="121" t="n"/>
      <c r="K114" s="121" t="n"/>
      <c r="L114" s="121" t="n"/>
      <c r="M114" s="121" t="n"/>
    </row>
    <row r="115" ht="18.75" customHeight="1" s="215">
      <c r="A115" s="152" t="n"/>
      <c r="B115" s="149" t="n">
        <v>98</v>
      </c>
      <c r="C115" s="223" t="inlineStr">
        <is>
          <t>NFF-098 – REGISTRO - modo oscuro – Campo “Confirmar contraseña”: Mismos estilos que contraseña. Incluye iconos izquierdo y derecho en gris claro.</t>
        </is>
      </c>
      <c r="D115" s="218" t="n"/>
      <c r="E115" s="153" t="n"/>
      <c r="F115" s="55" t="inlineStr">
        <is>
          <t>x</t>
        </is>
      </c>
      <c r="G115" s="55" t="n"/>
      <c r="H115" s="55" t="n"/>
      <c r="I115" s="56" t="n"/>
      <c r="J115" s="121" t="n"/>
      <c r="K115" s="121" t="n"/>
      <c r="L115" s="121" t="n"/>
      <c r="M115" s="121" t="n"/>
    </row>
    <row r="116" ht="18.75" customHeight="1" s="215">
      <c r="A116" s="152" t="n"/>
      <c r="B116" s="149" t="n">
        <v>99</v>
      </c>
      <c r="C116" s="223" t="inlineStr">
        <is>
          <t>NFF-099 – REGISTRO - modo oscuro – Enlace “¿Olvidaste tu contraseña?”: Tamaño pequeño. Color rojo (#b91c1c). Centrado debajo de los campos.</t>
        </is>
      </c>
      <c r="D116" s="218" t="n"/>
      <c r="E116" s="153" t="n"/>
      <c r="F116" s="55" t="inlineStr">
        <is>
          <t>x</t>
        </is>
      </c>
      <c r="G116" s="55" t="n"/>
      <c r="H116" s="55" t="n"/>
      <c r="I116" s="56" t="n"/>
      <c r="J116" s="121" t="n"/>
      <c r="K116" s="121" t="n"/>
      <c r="L116" s="121" t="n"/>
      <c r="M116" s="121" t="n"/>
    </row>
    <row r="117" ht="18.75" customHeight="1" s="215">
      <c r="A117" s="152" t="n"/>
      <c r="B117" s="149" t="n">
        <v>100</v>
      </c>
      <c r="C117" s="223" t="inlineStr">
        <is>
          <t>NFF-100 – REGISTRO - modo oscuro – Botón principal “Continuar”: Altura aproximada 50px. Ancho 100%. Fondo con degradado horizontal en tonos rojo a naranja. Texto blanco. Bordes redondeados (aprox. 10px–12px).</t>
        </is>
      </c>
      <c r="D117" s="218" t="n"/>
      <c r="E117" s="153" t="n"/>
      <c r="F117" s="55" t="inlineStr">
        <is>
          <t>x</t>
        </is>
      </c>
      <c r="G117" s="55" t="n"/>
      <c r="H117" s="55" t="n"/>
      <c r="I117" s="56" t="n"/>
      <c r="J117" s="121" t="n"/>
      <c r="K117" s="121" t="n"/>
      <c r="L117" s="121" t="n"/>
      <c r="M117" s="121" t="n"/>
    </row>
    <row r="118" ht="18.75" customHeight="1" s="215">
      <c r="A118" s="152" t="n"/>
      <c r="B118" s="149" t="n">
        <v>101</v>
      </c>
      <c r="C118" s="223" t="inlineStr">
        <is>
          <t>NFF-101 – REGISTRO - modo oscuro – Separador “O continúa con”: Texto pequeño en gris claro, centrado. Líneas horizontales finas a ambos lados en tono gris oscuro.</t>
        </is>
      </c>
      <c r="D118" s="218" t="n"/>
      <c r="E118" s="153" t="n"/>
      <c r="F118" s="55" t="inlineStr">
        <is>
          <t>x</t>
        </is>
      </c>
      <c r="G118" s="55" t="n"/>
      <c r="H118" s="55" t="n"/>
      <c r="I118" s="56" t="n"/>
      <c r="J118" s="121" t="n"/>
      <c r="K118" s="121" t="n"/>
      <c r="L118" s="121" t="n"/>
      <c r="M118" s="121" t="n"/>
    </row>
    <row r="119" ht="18.75" customHeight="1" s="215">
      <c r="A119" s="152" t="n"/>
      <c r="B119" s="149" t="n">
        <v>102</v>
      </c>
      <c r="C119" s="223" t="inlineStr">
        <is>
          <t>NFF-102 – REGISTRO - modo oscuro – Botón “Google”: Altura aproximada 48px. Fondo negro muy oscuro. Borde fino gris. Border-radius cercano a 10px. Texto blanco. Icono oficial de Google alineado a la izquierda.</t>
        </is>
      </c>
      <c r="D119" s="218" t="n"/>
      <c r="E119" s="153" t="n"/>
      <c r="F119" s="55" t="n"/>
      <c r="G119" s="55" t="n"/>
      <c r="H119" s="55" t="inlineStr">
        <is>
          <t>x</t>
        </is>
      </c>
      <c r="I119" s="56" t="n"/>
      <c r="J119" s="121" t="n"/>
      <c r="K119" s="121" t="n"/>
      <c r="L119" s="121" t="n"/>
      <c r="M119" s="121" t="n"/>
    </row>
    <row r="120" ht="18.75" customHeight="1" s="215">
      <c r="A120" s="152" t="n"/>
      <c r="B120" s="149" t="n">
        <v>103</v>
      </c>
      <c r="C120" s="223" t="inlineStr">
        <is>
          <t>NFF-103 – REGISTRO - modo oscuro – Enlace superior “Volver al inicio”: Ubicado en la parte superior izquierda. Tamaño pequeño. Color rojo.</t>
        </is>
      </c>
      <c r="D120" s="218" t="n"/>
      <c r="E120" s="153" t="n"/>
      <c r="F120" s="55" t="inlineStr">
        <is>
          <t>x</t>
        </is>
      </c>
      <c r="G120" s="55" t="n"/>
      <c r="H120" s="55" t="n"/>
      <c r="I120" s="56" t="n"/>
      <c r="J120" s="121" t="n"/>
      <c r="K120" s="121" t="n"/>
      <c r="L120" s="121" t="n"/>
      <c r="M120" s="121" t="n"/>
    </row>
    <row r="121" ht="18.75" customHeight="1" s="215">
      <c r="A121" s="152" t="n"/>
      <c r="B121" s="149" t="n">
        <v>104</v>
      </c>
      <c r="C121" s="223" t="inlineStr">
        <is>
          <t>NFF-104 – REGISTRO - modo oscuro – Botón modo oscuro (icono luna): Ubicado en la parte superior derecha. Forma cuadrada pequeña con bordes redondeados. Fondo oscuro. Icono en tono rojizo.</t>
        </is>
      </c>
      <c r="D121" s="218" t="n"/>
      <c r="E121" s="153" t="n"/>
      <c r="F121" s="55" t="inlineStr">
        <is>
          <t>x</t>
        </is>
      </c>
      <c r="G121" s="55" t="n"/>
      <c r="H121" s="55" t="n"/>
      <c r="I121" s="56" t="n"/>
      <c r="J121" s="121" t="n"/>
      <c r="K121" s="121" t="n"/>
      <c r="L121" s="121" t="n"/>
      <c r="M121" s="121" t="n"/>
    </row>
    <row r="122" ht="18.75" customHeight="1" s="215">
      <c r="A122" s="152" t="n"/>
      <c r="B122" s="149" t="n">
        <v>105</v>
      </c>
      <c r="C122" s="223" t="inlineStr">
        <is>
          <t>NFF-105 – EMPLEADO (resumen) - modo claro – Fondo general: Área principal en beige claro uniforme. Barra lateral izquierda en gris claro sólido. Cobertura completa del alto visible.</t>
        </is>
      </c>
      <c r="D122" s="218" t="n"/>
      <c r="E122" s="153" t="n"/>
      <c r="F122" s="55" t="inlineStr">
        <is>
          <t>x</t>
        </is>
      </c>
      <c r="G122" s="55" t="n"/>
      <c r="H122" s="55" t="n"/>
      <c r="I122" s="56" t="n"/>
      <c r="J122" s="121" t="n"/>
      <c r="K122" s="121" t="n"/>
      <c r="L122" s="121" t="n"/>
      <c r="M122" s="121" t="n"/>
    </row>
    <row r="123" ht="18.75" customHeight="1" s="215">
      <c r="A123" s="152" t="n"/>
      <c r="B123" s="149" t="n">
        <v>106</v>
      </c>
      <c r="C123" s="223" t="inlineStr">
        <is>
          <t>NFF-106 – EMPLEADO (resumen) - modo claro – Barra lateral: Fondo gris claro. Separación visual mediante contraste con el fondo principal. Tipografía en color oscuro.</t>
        </is>
      </c>
      <c r="D123" s="218" t="n"/>
      <c r="E123" s="153" t="n"/>
      <c r="F123" s="55" t="inlineStr">
        <is>
          <t>x</t>
        </is>
      </c>
      <c r="G123" s="55" t="n"/>
      <c r="H123" s="55" t="n"/>
      <c r="I123" s="56" t="n"/>
      <c r="J123" s="121" t="n"/>
      <c r="K123" s="121" t="n"/>
      <c r="L123" s="121" t="n"/>
      <c r="M123" s="121" t="n"/>
    </row>
    <row r="124" ht="18.75" customHeight="1" s="215">
      <c r="A124" s="152" t="n"/>
      <c r="B124" s="149" t="n">
        <v>107</v>
      </c>
      <c r="C124" s="223" t="inlineStr">
        <is>
          <t>NFF-107 – EMPLEADO (resumen) - modo claro – Ítem activo “Resumen”: Fondo naranja sólido (similar a #f97316). Texto blanco (#ffffff). Bordes ligeramente redondeados.</t>
        </is>
      </c>
      <c r="D124" s="218" t="n"/>
      <c r="E124" s="153" t="n"/>
      <c r="F124" s="55" t="inlineStr">
        <is>
          <t>x</t>
        </is>
      </c>
      <c r="G124" s="55" t="n"/>
      <c r="H124" s="55" t="n"/>
      <c r="I124" s="56" t="n"/>
      <c r="J124" s="121" t="n"/>
      <c r="K124" s="121" t="n"/>
      <c r="L124" s="121" t="n"/>
      <c r="M124" s="121" t="n"/>
    </row>
    <row r="125" ht="18.75" customHeight="1" s="215">
      <c r="A125" s="152" t="n"/>
      <c r="B125" s="149" t="n">
        <v>108</v>
      </c>
      <c r="C125" s="223" t="inlineStr">
        <is>
          <t>NFF-108 – EMPLEADO (resumen) - modo claro – Ítems inactivos (“Mesas”, “Reservas”, “Correos”, “Configuración”): Fondo gris claro o transparente. Texto oscuro. Sin resaltado.</t>
        </is>
      </c>
      <c r="D125" s="218" t="n"/>
      <c r="E125" s="153" t="n"/>
      <c r="F125" s="55" t="inlineStr">
        <is>
          <t>x</t>
        </is>
      </c>
      <c r="G125" s="55" t="n"/>
      <c r="H125" s="55" t="n"/>
      <c r="I125" s="56" t="n"/>
      <c r="J125" s="121" t="n"/>
      <c r="K125" s="121" t="n"/>
      <c r="L125" s="121" t="n"/>
      <c r="M125" s="121" t="n"/>
    </row>
    <row r="126" ht="18.75" customHeight="1" s="215">
      <c r="A126" s="152" t="n"/>
      <c r="B126" s="149" t="n">
        <v>109</v>
      </c>
      <c r="C126" s="223" t="inlineStr">
        <is>
          <t>NFF-109 – EMPLEADO (resumen) - modo claro – Título “Buenas tardes”: Tamaño grande (aprox. 32px–40px). Color gris muy oscuro o negro suave. Alineación izquierda.</t>
        </is>
      </c>
      <c r="D126" s="218" t="n"/>
      <c r="E126" s="153" t="n"/>
      <c r="F126" s="55" t="inlineStr">
        <is>
          <t>x</t>
        </is>
      </c>
      <c r="G126" s="55" t="n"/>
      <c r="H126" s="55" t="n"/>
      <c r="I126" s="56" t="n"/>
      <c r="J126" s="121" t="n"/>
      <c r="K126" s="121" t="n"/>
      <c r="L126" s="121" t="n"/>
      <c r="M126" s="121" t="n"/>
    </row>
    <row r="127" ht="18.75" customHeight="1" s="215">
      <c r="A127" s="152" t="n"/>
      <c r="B127" s="149" t="n">
        <v>110</v>
      </c>
      <c r="C127" s="223" t="inlineStr">
        <is>
          <t>NFF-110 – EMPLEADO (resumen) - modo claro – Texto descriptivo: Tamaño menor (14px–16px). Color gris medio para jerarquía visual.</t>
        </is>
      </c>
      <c r="D127" s="218" t="n"/>
      <c r="E127" s="153" t="n"/>
      <c r="F127" s="55" t="inlineStr">
        <is>
          <t>x</t>
        </is>
      </c>
      <c r="G127" s="55" t="n"/>
      <c r="H127" s="55" t="n"/>
      <c r="I127" s="56" t="n"/>
      <c r="J127" s="121" t="n"/>
      <c r="K127" s="121" t="n"/>
      <c r="L127" s="121" t="n"/>
      <c r="M127" s="121" t="n"/>
    </row>
    <row r="128" ht="18.75" customHeight="1" s="215">
      <c r="A128" s="152" t="n"/>
      <c r="B128" s="149" t="n">
        <v>111</v>
      </c>
      <c r="C128" s="223" t="inlineStr">
        <is>
          <t>NFF-111 – EMPLEADO (resumen) - modo claro – Tarjeta informativa superior: Fondo gris claro. Border-radius 12px–16px. Texto principal en color oscuro.</t>
        </is>
      </c>
      <c r="D128" s="218" t="n"/>
      <c r="E128" s="153" t="n"/>
      <c r="F128" s="55" t="inlineStr">
        <is>
          <t>x</t>
        </is>
      </c>
      <c r="G128" s="55" t="n"/>
      <c r="H128" s="55" t="n"/>
      <c r="I128" s="56" t="n"/>
      <c r="J128" s="121" t="n"/>
      <c r="K128" s="121" t="n"/>
      <c r="L128" s="121" t="n"/>
      <c r="M128" s="121" t="n"/>
    </row>
    <row r="129" ht="18.75" customHeight="1" s="215">
      <c r="A129" s="152" t="n"/>
      <c r="B129" s="149" t="n">
        <v>112</v>
      </c>
      <c r="C129" s="223" t="inlineStr">
        <is>
          <t>NFF-112 – EMPLEADO (resumen) - modo claro – Etiqueta “Hora actual”: Fondo naranja sólido. Texto blanco. Forma tipo píldora. Tamaño reducido (12px–13px).</t>
        </is>
      </c>
      <c r="D129" s="218" t="n"/>
      <c r="E129" s="153" t="n"/>
      <c r="F129" s="55" t="inlineStr">
        <is>
          <t>x</t>
        </is>
      </c>
      <c r="G129" s="55" t="n"/>
      <c r="H129" s="55" t="n"/>
      <c r="I129" s="56" t="n"/>
      <c r="J129" s="121" t="n"/>
      <c r="K129" s="121" t="n"/>
      <c r="L129" s="121" t="n"/>
      <c r="M129" s="121" t="n"/>
    </row>
    <row r="130" ht="18.75" customHeight="1" s="215">
      <c r="A130" s="152" t="n"/>
      <c r="B130" s="149" t="n">
        <v>113</v>
      </c>
      <c r="C130" s="223" t="inlineStr">
        <is>
          <t>NFF-113 – EMPLEADO (resumen) - modo claro – Tarjetas de métricas: Fondo gris claro uniforme. Bordes redondeados consistentes (12px–16px). Sombra suave y discreta.</t>
        </is>
      </c>
      <c r="D130" s="218" t="n"/>
      <c r="E130" s="153" t="n"/>
      <c r="F130" s="55" t="inlineStr">
        <is>
          <t>x</t>
        </is>
      </c>
      <c r="G130" s="55" t="n"/>
      <c r="H130" s="55" t="n"/>
      <c r="I130" s="56" t="n"/>
      <c r="J130" s="121" t="n"/>
      <c r="K130" s="121" t="n"/>
      <c r="L130" s="121" t="n"/>
      <c r="M130" s="121" t="n"/>
    </row>
    <row r="131" ht="18.75" customHeight="1" s="215">
      <c r="A131" s="152" t="n"/>
      <c r="B131" s="149" t="n">
        <v>114</v>
      </c>
      <c r="C131" s="223" t="inlineStr">
        <is>
          <t>NFF-114 – EMPLEADO (resumen) - modo claro – Valores numéricos (0 / $0): Tamaño destacado (20px–24px). Color oscuro de alto contraste.</t>
        </is>
      </c>
      <c r="D131" s="218" t="n"/>
      <c r="E131" s="153" t="n"/>
      <c r="F131" s="55" t="inlineStr">
        <is>
          <t>x</t>
        </is>
      </c>
      <c r="G131" s="55" t="n"/>
      <c r="H131" s="55" t="n"/>
      <c r="I131" s="56" t="n"/>
      <c r="J131" s="121" t="n"/>
      <c r="K131" s="121" t="n"/>
      <c r="L131" s="121" t="n"/>
      <c r="M131" s="121" t="n"/>
    </row>
    <row r="132" ht="18.75" customHeight="1" s="215">
      <c r="A132" s="152" t="n"/>
      <c r="B132" s="149" t="n">
        <v>115</v>
      </c>
      <c r="C132" s="223" t="inlineStr">
        <is>
          <t>NFF-115 – EMPLEADO (resumen) - modo claro – Textos secundarios (“de 0 totales”, “actualmente”, “para hoy”, “hasta ahora”): Tamaño pequeño (12px–14px). Color gris medio.</t>
        </is>
      </c>
      <c r="D132" s="218" t="n"/>
      <c r="E132" s="153" t="n"/>
      <c r="F132" s="55" t="inlineStr">
        <is>
          <t>x</t>
        </is>
      </c>
      <c r="G132" s="55" t="n"/>
      <c r="H132" s="55" t="n"/>
      <c r="I132" s="56" t="n"/>
      <c r="J132" s="121" t="n"/>
      <c r="K132" s="121" t="n"/>
      <c r="L132" s="121" t="n"/>
      <c r="M132" s="121" t="n"/>
    </row>
    <row r="133" ht="18.75" customHeight="1" s="215">
      <c r="A133" s="152" t="n"/>
      <c r="B133" s="149" t="n">
        <v>116</v>
      </c>
      <c r="C133" s="223" t="inlineStr">
        <is>
          <t>NFF-116 – EMPLEADO (resumen) - modo claro – Tarjeta “Mi balance”: Fondo gris claro consistente con las demás tarjetas. Monto “$0” en tamaño destacado y color oscuro. Texto “total facturado” en gris medio y tamaño reducido.</t>
        </is>
      </c>
      <c r="D133" s="218" t="n"/>
      <c r="E133" s="153" t="n"/>
      <c r="F133" s="55" t="inlineStr">
        <is>
          <t>x</t>
        </is>
      </c>
      <c r="G133" s="55" t="n"/>
      <c r="H133" s="55" t="n"/>
      <c r="I133" s="56" t="n"/>
      <c r="J133" s="121" t="n"/>
      <c r="K133" s="121" t="n"/>
      <c r="L133" s="121" t="n"/>
      <c r="M133" s="121" t="n"/>
    </row>
    <row r="134" ht="18.75" customHeight="1" s="215">
      <c r="A134" s="152" t="n"/>
      <c r="B134" s="149" t="n">
        <v>117</v>
      </c>
      <c r="C134" s="223" t="inlineStr">
        <is>
          <t>NFF-117 – EMPLEADO (resumen) - modo claro – Sección “Próximas reservas”: Contenedor ancho en gris claro. Bordes redondeados uniformes.</t>
        </is>
      </c>
      <c r="D134" s="218" t="n"/>
      <c r="E134" s="153" t="n"/>
      <c r="F134" s="55" t="inlineStr">
        <is>
          <t>x</t>
        </is>
      </c>
      <c r="G134" s="55" t="n"/>
      <c r="H134" s="55" t="n"/>
      <c r="I134" s="56" t="n"/>
      <c r="J134" s="121" t="n"/>
      <c r="K134" s="121" t="n"/>
      <c r="L134" s="121" t="n"/>
      <c r="M134" s="121" t="n"/>
    </row>
    <row r="135" ht="18.75" customHeight="1" s="215">
      <c r="A135" s="152" t="n"/>
      <c r="B135" s="149" t="n">
        <v>118</v>
      </c>
      <c r="C135" s="223" t="inlineStr">
        <is>
          <t>NFF-118 – EMPLEADO (resumen) - modo claro – Título en color oscuro. Texto descriptivo en gris medio. Mensaje “No hay reservas próximas.” en color gris estándar sin resaltado adicional.</t>
        </is>
      </c>
      <c r="D135" s="218" t="n"/>
      <c r="E135" s="153" t="n"/>
      <c r="F135" s="55" t="inlineStr">
        <is>
          <t>x</t>
        </is>
      </c>
      <c r="G135" s="55" t="n"/>
      <c r="H135" s="55" t="n"/>
      <c r="I135" s="56" t="n"/>
      <c r="J135" s="121" t="n"/>
      <c r="K135" s="121" t="n"/>
      <c r="L135" s="121" t="n"/>
      <c r="M135" s="121" t="n"/>
    </row>
    <row r="136" ht="18.75" customHeight="1" s="215">
      <c r="A136" s="152" t="n"/>
      <c r="B136" s="149" t="n">
        <v>119</v>
      </c>
      <c r="C136" s="223" t="inlineStr">
        <is>
          <t>NFF-119 – EMPLEADO (resumen) - modo claro – Bloque de usuario inferior: Integrado en la barra lateral con fondo gris claro. Nombre en color oscuro. Correo en gris medio.</t>
        </is>
      </c>
      <c r="D136" s="218" t="n"/>
      <c r="E136" s="153" t="n"/>
      <c r="F136" s="55" t="inlineStr">
        <is>
          <t>x</t>
        </is>
      </c>
      <c r="G136" s="55" t="n"/>
      <c r="H136" s="55" t="n"/>
      <c r="I136" s="56" t="n"/>
      <c r="J136" s="121" t="n"/>
      <c r="K136" s="121" t="n"/>
      <c r="L136" s="121" t="n"/>
      <c r="M136" s="121" t="n"/>
    </row>
    <row r="137" ht="18.75" customHeight="1" s="215">
      <c r="A137" s="152" t="n"/>
      <c r="B137" s="149" t="n">
        <v>120</v>
      </c>
      <c r="C137" s="223" t="inlineStr">
        <is>
          <t>NFF-120 – EMPLEADO (resumen) - modo claro – Opción “Cerrar sesión”: Texto oscuro sin fondo. Cambio leve de tono en estado hover.</t>
        </is>
      </c>
      <c r="D137" s="218" t="n"/>
      <c r="E137" s="153" t="n"/>
      <c r="F137" s="55" t="inlineStr">
        <is>
          <t>x</t>
        </is>
      </c>
      <c r="G137" s="55" t="n"/>
      <c r="H137" s="55" t="n"/>
      <c r="I137" s="56" t="n"/>
      <c r="J137" s="121" t="n"/>
      <c r="K137" s="121" t="n"/>
      <c r="L137" s="121" t="n"/>
      <c r="M137" s="121" t="n"/>
    </row>
    <row r="138" ht="18.75" customHeight="1" s="215">
      <c r="A138" s="152" t="n"/>
      <c r="B138" s="149" t="n">
        <v>121</v>
      </c>
      <c r="C138" s="223" t="inlineStr">
        <is>
          <t>NFF-121 – EMPLEADO (mesas) - modo claro – Ítem activo “Mesas”: Fondo naranja sólido (similar a #f97316). Texto blanco (#ffffff). Bordes ligeramente redondeados. Debe diferenciarse claramente del resto del menú lateral.</t>
        </is>
      </c>
      <c r="D138" s="218" t="n"/>
      <c r="E138" s="153" t="n"/>
      <c r="F138" s="55" t="inlineStr">
        <is>
          <t>x</t>
        </is>
      </c>
      <c r="G138" s="55" t="n"/>
      <c r="H138" s="55" t="n"/>
      <c r="I138" s="56" t="n"/>
      <c r="J138" s="121" t="n"/>
      <c r="K138" s="121" t="n"/>
      <c r="L138" s="121" t="n"/>
      <c r="M138" s="121" t="n"/>
    </row>
    <row r="139" ht="18.75" customHeight="1" s="215">
      <c r="A139" s="152" t="n"/>
      <c r="B139" s="149" t="n">
        <v>122</v>
      </c>
      <c r="C139" s="223" t="inlineStr">
        <is>
          <t>NFF-122 – EMPLEADO (mesas) - modo claro – Encabezado superior “Mesas”: Texto pequeño superior en color gris medio, alineado a la izquierda, funcionando como etiqueta de sección.</t>
        </is>
      </c>
      <c r="D139" s="218" t="n"/>
      <c r="E139" s="153" t="n"/>
      <c r="F139" s="55" t="inlineStr">
        <is>
          <t>x</t>
        </is>
      </c>
      <c r="G139" s="55" t="n"/>
      <c r="H139" s="55" t="n"/>
      <c r="I139" s="56" t="n"/>
      <c r="J139" s="121" t="n"/>
      <c r="K139" s="121" t="n"/>
      <c r="L139" s="121" t="n"/>
      <c r="M139" s="121" t="n"/>
    </row>
    <row r="140" ht="18.75" customHeight="1" s="215">
      <c r="A140" s="152" t="n"/>
      <c r="B140" s="149" t="n">
        <v>123</v>
      </c>
      <c r="C140" s="223" t="inlineStr">
        <is>
          <t>NFF-123 – EMPLEADO (mesas) - modo claro – Título “Buenas tardes”: Se mantiene el mismo estilo tipográfico y color definido en los lineamientos generales del panel.</t>
        </is>
      </c>
      <c r="D140" s="218" t="n"/>
      <c r="E140" s="153" t="n"/>
      <c r="F140" s="55" t="inlineStr">
        <is>
          <t>x</t>
        </is>
      </c>
      <c r="G140" s="55" t="n"/>
      <c r="H140" s="55" t="n"/>
      <c r="I140" s="56" t="n"/>
      <c r="J140" s="121" t="n"/>
      <c r="K140" s="121" t="n"/>
      <c r="L140" s="121" t="n"/>
      <c r="M140" s="121" t="n"/>
    </row>
    <row r="141" ht="18.75" customHeight="1" s="215">
      <c r="A141" s="152" t="n"/>
      <c r="B141" s="149" t="n">
        <v>124</v>
      </c>
      <c r="C141" s="223" t="inlineStr">
        <is>
          <t>NFF-124 – EMPLEADO (mesas) - modo claro – Sección “Estado de mesas”: Título en color oscuro de alto contraste. Texto descriptivo “Estado actual de todas las mesas” en gris medio para jerarquía visual.</t>
        </is>
      </c>
      <c r="D141" s="218" t="n"/>
      <c r="E141" s="153" t="n"/>
      <c r="F141" s="55" t="inlineStr">
        <is>
          <t>x</t>
        </is>
      </c>
      <c r="G141" s="55" t="n"/>
      <c r="H141" s="55" t="n"/>
      <c r="I141" s="56" t="n"/>
      <c r="J141" s="121" t="n"/>
      <c r="K141" s="121" t="n"/>
      <c r="L141" s="121" t="n"/>
      <c r="M141" s="121" t="n"/>
    </row>
    <row r="142" ht="18.75" customHeight="1" s="215">
      <c r="A142" s="152" t="n"/>
      <c r="B142" s="149" t="n">
        <v>125</v>
      </c>
      <c r="C142" s="223" t="inlineStr">
        <is>
          <t>NFF-125 – EMPLEADO (mesas) - modo claro – Indicadores de estado (Disponible, Ocupada, Reservada, Limpieza): Presentación en etiquetas tipo píldora (border-radius completo). Fondo en tonos suaves diferenciados por estado. Texto en color oscuro o ligeramente contrastado según el fondo.</t>
        </is>
      </c>
      <c r="D142" s="218" t="n"/>
      <c r="E142" s="153" t="n"/>
      <c r="F142" s="55" t="inlineStr">
        <is>
          <t>x</t>
        </is>
      </c>
      <c r="G142" s="55" t="n"/>
      <c r="H142" s="55" t="n"/>
      <c r="I142" s="56" t="n"/>
      <c r="J142" s="121" t="n"/>
      <c r="K142" s="121" t="n"/>
      <c r="L142" s="121" t="n"/>
      <c r="M142" s="121" t="n"/>
    </row>
    <row r="143" ht="18.75" customHeight="1" s="215">
      <c r="A143" s="152" t="n"/>
      <c r="B143" s="149" t="n">
        <v>126</v>
      </c>
      <c r="C143" s="223" t="inlineStr">
        <is>
          <t>NFF-126 – EMPLEADO (mesas) - modo claro – Contenedor principal de mesas: Tarjeta amplia con fondo gris claro uniforme. Bordes redondeados consistentes con el resto del panel. Sin elementos decorativos adicionales.</t>
        </is>
      </c>
      <c r="D143" s="218" t="n"/>
      <c r="E143" s="153" t="n"/>
      <c r="F143" s="55" t="inlineStr">
        <is>
          <t>x</t>
        </is>
      </c>
      <c r="G143" s="55" t="n"/>
      <c r="H143" s="55" t="n"/>
      <c r="I143" s="56" t="n"/>
      <c r="J143" s="121" t="n"/>
      <c r="K143" s="121" t="n"/>
      <c r="L143" s="121" t="n"/>
      <c r="M143" s="121" t="n"/>
    </row>
    <row r="144" ht="18.75" customHeight="1" s="215">
      <c r="A144" s="152" t="n"/>
      <c r="B144" s="149" t="n">
        <v>127</v>
      </c>
      <c r="C144" s="223" t="inlineStr">
        <is>
          <t>NFF-127 – EMPLEADO (mesas) - modo claro – Mensaje “No hay mesas cargadas.”: Texto centrado dentro del contenedor. Color gris medio. Sin resaltado ni fondo adicional.</t>
        </is>
      </c>
      <c r="D144" s="218" t="n"/>
      <c r="E144" s="153" t="n"/>
      <c r="F144" s="55" t="inlineStr">
        <is>
          <t>x</t>
        </is>
      </c>
      <c r="G144" s="55" t="n"/>
      <c r="H144" s="55" t="n"/>
      <c r="I144" s="56" t="n"/>
      <c r="J144" s="121" t="n"/>
      <c r="K144" s="121" t="n"/>
      <c r="L144" s="121" t="n"/>
      <c r="M144" s="121" t="n"/>
    </row>
    <row r="145" ht="18.75" customHeight="1" s="215">
      <c r="A145" s="152" t="n"/>
      <c r="B145" s="149" t="n">
        <v>128</v>
      </c>
      <c r="C145" s="223" t="inlineStr">
        <is>
          <t>NFF-128 – EMPLEADO (reservas) - modo claro – Ítem activo “Reservas”: Fondo naranja sólido (similar a #f97316). Texto blanco (#ffffff). Bordes ligeramente redondeados para indicar sección activa.</t>
        </is>
      </c>
      <c r="D145" s="218" t="n"/>
      <c r="E145" s="153" t="n"/>
      <c r="F145" s="55" t="inlineStr">
        <is>
          <t>x</t>
        </is>
      </c>
      <c r="G145" s="55" t="n"/>
      <c r="H145" s="55" t="n"/>
      <c r="I145" s="56" t="n"/>
      <c r="J145" s="121" t="n"/>
      <c r="K145" s="121" t="n"/>
      <c r="L145" s="121" t="n"/>
      <c r="M145" s="121" t="n"/>
    </row>
    <row r="146" ht="18.75" customHeight="1" s="215">
      <c r="A146" s="152" t="n"/>
      <c r="B146" s="149" t="n">
        <v>129</v>
      </c>
      <c r="C146" s="223" t="inlineStr">
        <is>
          <t>NFF-129 – EMPLEADO (reservas) - modo claro – Encabezado superior “Reservas”: Texto pequeño en gris medio, alineado a la izquierda como etiqueta de sección.</t>
        </is>
      </c>
      <c r="D146" s="218" t="n"/>
      <c r="E146" s="153" t="n"/>
      <c r="F146" s="55" t="inlineStr">
        <is>
          <t>x</t>
        </is>
      </c>
      <c r="G146" s="55" t="n"/>
      <c r="H146" s="55" t="n"/>
      <c r="I146" s="56" t="n"/>
      <c r="J146" s="121" t="n"/>
      <c r="K146" s="121" t="n"/>
      <c r="L146" s="121" t="n"/>
      <c r="M146" s="121" t="n"/>
    </row>
    <row r="147" ht="18.75" customHeight="1" s="215">
      <c r="A147" s="152" t="n"/>
      <c r="B147" s="149" t="n">
        <v>130</v>
      </c>
      <c r="C147" s="223" t="inlineStr">
        <is>
          <t>NFF-130 – EMPLEADO (reservas) - modo claro – Sección “Reservas de hoy”: Título en color oscuro de alto contraste. Texto descriptivo “Gestiona todas las reservas del día” en gris medio para jerarquía visual.</t>
        </is>
      </c>
      <c r="D147" s="218" t="n"/>
      <c r="E147" s="153" t="n"/>
      <c r="F147" s="55" t="inlineStr">
        <is>
          <t>x</t>
        </is>
      </c>
      <c r="G147" s="55" t="n"/>
      <c r="H147" s="55" t="n"/>
      <c r="I147" s="56" t="n"/>
      <c r="J147" s="121" t="n"/>
      <c r="K147" s="121" t="n"/>
      <c r="L147" s="121" t="n"/>
      <c r="M147" s="121" t="n"/>
    </row>
    <row r="148" ht="18.75" customHeight="1" s="215">
      <c r="A148" s="152" t="n"/>
      <c r="B148" s="149" t="n">
        <v>131</v>
      </c>
      <c r="C148" s="223" t="inlineStr">
        <is>
          <t>NFF-131 – EMPLEADO (reservas) - modo claro – Tarjetas de estado (Pendientes, Confirmadas, En proceso, Completadas): Fondo gris claro uniforme. Border-radius consistente (12px–16px). Sombra suave y discreta.</t>
        </is>
      </c>
      <c r="D148" s="218" t="n"/>
      <c r="E148" s="153" t="n"/>
      <c r="F148" s="55" t="inlineStr">
        <is>
          <t>x</t>
        </is>
      </c>
      <c r="G148" s="55" t="n"/>
      <c r="H148" s="55" t="n"/>
      <c r="I148" s="56" t="n"/>
      <c r="J148" s="121" t="n"/>
      <c r="K148" s="121" t="n"/>
      <c r="L148" s="121" t="n"/>
      <c r="M148" s="121" t="n"/>
    </row>
    <row r="149" ht="18.75" customHeight="1" s="215">
      <c r="A149" s="152" t="n"/>
      <c r="B149" s="149" t="n">
        <v>132</v>
      </c>
      <c r="C149" s="223" t="inlineStr">
        <is>
          <t>NFF-132 – EMPLEADO (reservas) - modo claro – Valores numéricos (0): Tamaño destacado (20px–24px). Color oscuro de alto contraste.</t>
        </is>
      </c>
      <c r="D149" s="218" t="n"/>
      <c r="E149" s="153" t="n"/>
      <c r="F149" s="55" t="inlineStr">
        <is>
          <t>x</t>
        </is>
      </c>
      <c r="G149" s="55" t="n"/>
      <c r="H149" s="55" t="n"/>
      <c r="I149" s="56" t="n"/>
      <c r="J149" s="121" t="n"/>
      <c r="K149" s="121" t="n"/>
      <c r="L149" s="121" t="n"/>
      <c r="M149" s="121" t="n"/>
    </row>
    <row r="150" ht="18.75" customHeight="1" s="215">
      <c r="A150" s="152" t="n"/>
      <c r="B150" s="149" t="n">
        <v>133</v>
      </c>
      <c r="C150" s="223" t="inlineStr">
        <is>
          <t>NFF-133 – EMPLEADO (reservas) - modo claro – Texto inferior de cada estado: Tamaño reducido (12px–14px). Color gris medio.</t>
        </is>
      </c>
      <c r="D150" s="218" t="n"/>
      <c r="E150" s="153" t="n"/>
      <c r="F150" s="55" t="inlineStr">
        <is>
          <t>x</t>
        </is>
      </c>
      <c r="G150" s="55" t="n"/>
      <c r="H150" s="55" t="n"/>
      <c r="I150" s="56" t="n"/>
      <c r="J150" s="121" t="n"/>
      <c r="K150" s="121" t="n"/>
      <c r="L150" s="121" t="n"/>
      <c r="M150" s="121" t="n"/>
    </row>
    <row r="151" ht="18.75" customHeight="1" s="215">
      <c r="A151" s="152" t="n"/>
      <c r="B151" s="149" t="n">
        <v>134</v>
      </c>
      <c r="C151" s="223" t="inlineStr">
        <is>
          <t>NFF-134 – EMPLEADO (reservas) - modo claro – Contenedor principal de reservas: Tarjeta amplia con fondo gris claro uniforme. Bordes redondeados consistentes con el sistema visual del panel.</t>
        </is>
      </c>
      <c r="D151" s="218" t="n"/>
      <c r="E151" s="153" t="n"/>
      <c r="F151" s="55" t="inlineStr">
        <is>
          <t>x</t>
        </is>
      </c>
      <c r="G151" s="55" t="n"/>
      <c r="H151" s="55" t="n"/>
      <c r="I151" s="56" t="n"/>
      <c r="J151" s="121" t="n"/>
      <c r="K151" s="121" t="n"/>
      <c r="L151" s="121" t="n"/>
      <c r="M151" s="121" t="n"/>
    </row>
    <row r="152" ht="18.75" customHeight="1" s="215">
      <c r="A152" s="152" t="n"/>
      <c r="B152" s="149" t="n">
        <v>135</v>
      </c>
      <c r="C152" s="223" t="inlineStr">
        <is>
          <t>NFF-135 – EMPLEADO (reservas) - modo claro – Mensaje “No hay reservas de hoy.”: Texto centrado dentro del contenedor. Color gris medio. Sin resaltado adicional.</t>
        </is>
      </c>
      <c r="D152" s="218" t="n"/>
      <c r="E152" s="153" t="n"/>
      <c r="F152" s="55" t="inlineStr">
        <is>
          <t>x</t>
        </is>
      </c>
      <c r="G152" s="55" t="n"/>
      <c r="H152" s="55" t="n"/>
      <c r="I152" s="56" t="n"/>
      <c r="J152" s="121" t="n"/>
      <c r="K152" s="121" t="n"/>
      <c r="L152" s="121" t="n"/>
      <c r="M152" s="121" t="n"/>
    </row>
    <row r="153" ht="18.75" customHeight="1" s="215">
      <c r="A153" s="152" t="n"/>
      <c r="B153" s="149" t="n">
        <v>136</v>
      </c>
      <c r="C153" s="223" t="inlineStr">
        <is>
          <t>NFF-136 – EMPLEADO (correos) - modo claro – Ítem activo “Correos”: Fondo naranja sólido (similar a #f97316). Texto blanco (#ffffff). Bordes ligeramente redondeados para indicar sección activa.</t>
        </is>
      </c>
      <c r="D153" s="218" t="n"/>
      <c r="E153" s="153" t="n"/>
      <c r="F153" s="55" t="inlineStr">
        <is>
          <t>x</t>
        </is>
      </c>
      <c r="G153" s="55" t="n"/>
      <c r="H153" s="55" t="n"/>
      <c r="I153" s="56" t="n"/>
      <c r="J153" s="121" t="n"/>
      <c r="K153" s="121" t="n"/>
      <c r="L153" s="121" t="n"/>
      <c r="M153" s="121" t="n"/>
    </row>
    <row r="154" ht="18.75" customHeight="1" s="215">
      <c r="A154" s="152" t="n"/>
      <c r="B154" s="149" t="n">
        <v>137</v>
      </c>
      <c r="C154" s="223" t="inlineStr">
        <is>
          <t>NFF-137 – EMPLEADO (correos) - modo claro – Encabezado superior “Correos”: Texto pequeño en gris medio, alineado a la izquierda como etiqueta de sección.</t>
        </is>
      </c>
      <c r="D154" s="218" t="n"/>
      <c r="E154" s="153" t="n"/>
      <c r="F154" s="55" t="inlineStr">
        <is>
          <t>x</t>
        </is>
      </c>
      <c r="G154" s="55" t="n"/>
      <c r="H154" s="55" t="n"/>
      <c r="I154" s="56" t="n"/>
      <c r="J154" s="121" t="n"/>
      <c r="K154" s="121" t="n"/>
      <c r="L154" s="121" t="n"/>
      <c r="M154" s="121" t="n"/>
    </row>
    <row r="155" ht="18.75" customHeight="1" s="215">
      <c r="A155" s="152" t="n"/>
      <c r="B155" s="149" t="n">
        <v>138</v>
      </c>
      <c r="C155" s="223" t="inlineStr">
        <is>
          <t>NFF-138 – EMPLEADO (correos) - modo claro – Sección “Correos no leídos”: Título en color oscuro de alto contraste acompañado de icono de sobre en tono gris oscuro. Texto descriptivo inferior en gris medio con tamaño reducido para jerarquía visual.</t>
        </is>
      </c>
      <c r="D155" s="218" t="n"/>
      <c r="E155" s="153" t="n"/>
      <c r="F155" s="55" t="inlineStr">
        <is>
          <t>x</t>
        </is>
      </c>
      <c r="G155" s="55" t="n"/>
      <c r="H155" s="55" t="n"/>
      <c r="I155" s="56" t="n"/>
      <c r="J155" s="121" t="n"/>
      <c r="K155" s="121" t="n"/>
      <c r="L155" s="121" t="n"/>
      <c r="M155" s="121" t="n"/>
    </row>
    <row r="156" ht="18.75" customHeight="1" s="215">
      <c r="A156" s="152" t="n"/>
      <c r="B156" s="149" t="n">
        <v>139</v>
      </c>
      <c r="C156" s="223" t="inlineStr">
        <is>
          <t>NFF-139 – EMPLEADO (correos) - modo claro – Botón “Actualizar”: Fondo gris muy claro. Texto oscuro. Bordes redondeados tipo píldora o suavizados. Icono de recarga en color oscuro alineado a la izquierda del texto.</t>
        </is>
      </c>
      <c r="D156" s="218" t="n"/>
      <c r="E156" s="153" t="n"/>
      <c r="F156" s="55" t="inlineStr">
        <is>
          <t>x</t>
        </is>
      </c>
      <c r="G156" s="55" t="n"/>
      <c r="H156" s="55" t="n"/>
      <c r="I156" s="56" t="n"/>
      <c r="J156" s="121" t="n"/>
      <c r="K156" s="121" t="n"/>
      <c r="L156" s="121" t="n"/>
      <c r="M156" s="121" t="n"/>
    </row>
    <row r="157" ht="18.75" customHeight="1" s="215">
      <c r="A157" s="152" t="n"/>
      <c r="B157" s="149" t="n">
        <v>140</v>
      </c>
      <c r="C157" s="223" t="inlineStr">
        <is>
          <t>NFF-140 – EMPLEADO (correos) - modo claro – Contenedor principal de correos: Tarjeta amplia con fondo gris claro uniforme. Border-radius consistente (12px–16px). Sombra suave y discreta.</t>
        </is>
      </c>
      <c r="D157" s="218" t="n"/>
      <c r="E157" s="153" t="n"/>
      <c r="F157" s="55" t="inlineStr">
        <is>
          <t>x</t>
        </is>
      </c>
      <c r="G157" s="55" t="n"/>
      <c r="H157" s="55" t="n"/>
      <c r="I157" s="56" t="n"/>
      <c r="J157" s="121" t="n"/>
      <c r="K157" s="121" t="n"/>
      <c r="L157" s="121" t="n"/>
      <c r="M157" s="121" t="n"/>
    </row>
    <row r="158" ht="18.75" customHeight="1" s="215">
      <c r="A158" s="152" t="n"/>
      <c r="B158" s="149" t="n">
        <v>141</v>
      </c>
      <c r="C158" s="223" t="inlineStr">
        <is>
          <t>NFF-141 – EMPLEADO (correos) - modo claro – Área interna de listado vacío: Fondo ligeramente diferenciado mediante tono gris muy claro y borde punteado o discontinuo en gris tenue. Bordes redondeados uniformes.</t>
        </is>
      </c>
      <c r="D158" s="218" t="n"/>
      <c r="E158" s="153" t="n"/>
      <c r="F158" s="55" t="inlineStr">
        <is>
          <t>x</t>
        </is>
      </c>
      <c r="G158" s="55" t="n"/>
      <c r="H158" s="55" t="n"/>
      <c r="I158" s="56" t="n"/>
      <c r="J158" s="121" t="n"/>
      <c r="K158" s="121" t="n"/>
      <c r="L158" s="121" t="n"/>
      <c r="M158" s="121" t="n"/>
    </row>
    <row r="159" ht="18.75" customHeight="1" s="215">
      <c r="A159" s="152" t="n"/>
      <c r="B159" s="149" t="n">
        <v>142</v>
      </c>
      <c r="C159" s="223" t="inlineStr">
        <is>
          <t>NFF-142 – EMPLEADO (correos) - modo claro – Icono central (sobre): Tamaño grande. Color gris medio. Centrado dentro del contenedor.</t>
        </is>
      </c>
      <c r="D159" s="218" t="n"/>
      <c r="E159" s="153" t="n"/>
      <c r="F159" s="55" t="inlineStr">
        <is>
          <t>x</t>
        </is>
      </c>
      <c r="G159" s="55" t="n"/>
      <c r="H159" s="55" t="n"/>
      <c r="I159" s="56" t="n"/>
      <c r="J159" s="121" t="n"/>
      <c r="K159" s="121" t="n"/>
      <c r="L159" s="121" t="n"/>
      <c r="M159" s="121" t="n"/>
    </row>
    <row r="160" ht="18.75" customHeight="1" s="215">
      <c r="A160" s="152" t="n"/>
      <c r="B160" s="149" t="n">
        <v>143</v>
      </c>
      <c r="C160" s="223" t="inlineStr">
        <is>
          <t>NFF-143 – EMPLEADO (correos) - modo claro – Mensaje “No hay correos no leídos”: Texto centrado en color oscuro.</t>
        </is>
      </c>
      <c r="D160" s="218" t="n"/>
      <c r="E160" s="153" t="n"/>
      <c r="F160" s="55" t="inlineStr">
        <is>
          <t>x</t>
        </is>
      </c>
      <c r="G160" s="55" t="n"/>
      <c r="H160" s="55" t="n"/>
      <c r="I160" s="56" t="n"/>
      <c r="J160" s="121" t="n"/>
      <c r="K160" s="121" t="n"/>
      <c r="L160" s="121" t="n"/>
      <c r="M160" s="121" t="n"/>
    </row>
    <row r="161" ht="18.75" customHeight="1" s="215">
      <c r="A161" s="152" t="n"/>
      <c r="B161" s="149" t="n">
        <v>144</v>
      </c>
      <c r="C161" s="223" t="inlineStr">
        <is>
          <t>NFF-144 – EMPLEADO (correos) - modo claro – Texto secundario explicativo: Tamaño menor (12px–14px). Color gris medio. Sin resaltado adicional.</t>
        </is>
      </c>
      <c r="D161" s="218" t="n"/>
      <c r="E161" s="153" t="n"/>
      <c r="F161" s="55" t="inlineStr">
        <is>
          <t>x</t>
        </is>
      </c>
      <c r="G161" s="55" t="n"/>
      <c r="H161" s="55" t="n"/>
      <c r="I161" s="56" t="n"/>
      <c r="J161" s="121" t="n"/>
      <c r="K161" s="121" t="n"/>
      <c r="L161" s="121" t="n"/>
      <c r="M161" s="121" t="n"/>
    </row>
    <row r="162" ht="18.75" customHeight="1" s="215">
      <c r="A162" s="152" t="n"/>
      <c r="B162" s="149" t="n">
        <v>145</v>
      </c>
      <c r="C162" s="223" t="inlineStr">
        <is>
          <t>NFF-145 – EMPLEADO (configuracion) - modo claro – Ítem activo “Configuración”: Fondo naranja sólido (similar a #f97316). Texto blanco (#ffffff). Bordes ligeramente redondeados para indicar sección activa.</t>
        </is>
      </c>
      <c r="D162" s="218" t="n"/>
      <c r="E162" s="153" t="n"/>
      <c r="F162" s="55" t="inlineStr">
        <is>
          <t>x</t>
        </is>
      </c>
      <c r="G162" s="55" t="n"/>
      <c r="H162" s="55" t="n"/>
      <c r="I162" s="56" t="n"/>
      <c r="J162" s="121" t="n"/>
      <c r="K162" s="121" t="n"/>
      <c r="L162" s="121" t="n"/>
      <c r="M162" s="121" t="n"/>
    </row>
    <row r="163" ht="18.75" customHeight="1" s="215">
      <c r="A163" s="152" t="n"/>
      <c r="B163" s="149" t="n">
        <v>146</v>
      </c>
      <c r="C163" s="223" t="inlineStr">
        <is>
          <t>NFF-146 – EMPLEADO (configuracion) - modo claro – Encabezado superior “Configuración”: Texto pequeño en gris medio, alineado a la izquierda como etiqueta de sección.</t>
        </is>
      </c>
      <c r="D163" s="218" t="n"/>
      <c r="E163" s="153" t="n"/>
      <c r="F163" s="55" t="inlineStr">
        <is>
          <t>x</t>
        </is>
      </c>
      <c r="G163" s="55" t="n"/>
      <c r="H163" s="55" t="n"/>
      <c r="I163" s="56" t="n"/>
      <c r="J163" s="121" t="n"/>
      <c r="K163" s="121" t="n"/>
      <c r="L163" s="121" t="n"/>
      <c r="M163" s="121" t="n"/>
    </row>
    <row r="164" ht="18.75" customHeight="1" s="215">
      <c r="A164" s="152" t="n"/>
      <c r="B164" s="149" t="n">
        <v>147</v>
      </c>
      <c r="C164" s="223" t="inlineStr">
        <is>
          <t>NFF-147 – EMPLEADO (configuracion) - modo claro – Sección “SMTP (envío de correos)”: Tarjeta con fondo gris claro uniforme. Border-radius consistente (12px–16px). Sombra suave y discreta. Título en color oscuro acompañado de icono en tono gris oscuro.</t>
        </is>
      </c>
      <c r="D164" s="218" t="n"/>
      <c r="E164" s="153" t="n"/>
      <c r="F164" s="55" t="inlineStr">
        <is>
          <t>x</t>
        </is>
      </c>
      <c r="G164" s="55" t="n"/>
      <c r="H164" s="55" t="n"/>
      <c r="I164" s="56" t="n"/>
      <c r="J164" s="121" t="n"/>
      <c r="K164" s="121" t="n"/>
      <c r="L164" s="121" t="n"/>
      <c r="M164" s="121" t="n"/>
    </row>
    <row r="165" ht="18.75" customHeight="1" s="215">
      <c r="A165" s="152" t="n"/>
      <c r="B165" s="149" t="n">
        <v>148</v>
      </c>
      <c r="C165" s="223" t="inlineStr">
        <is>
          <t>NFF-148 – EMPLEADO (configuracion) - modo claro – Campos de entrada (Host, Puerto, Usuario, Correo remitente, Contraseña): Fondo blanco o gris muy claro. Borde fino en gris tenue. Bordes ligeramente redondeados (8px–10px). Texto ingresado en color oscuro. Placeholder en gris medio.</t>
        </is>
      </c>
      <c r="D165" s="218" t="n"/>
      <c r="E165" s="153" t="n"/>
      <c r="F165" s="55" t="inlineStr">
        <is>
          <t>x</t>
        </is>
      </c>
      <c r="G165" s="55" t="n"/>
      <c r="H165" s="55" t="n"/>
      <c r="I165" s="56" t="n"/>
      <c r="J165" s="121" t="n"/>
      <c r="K165" s="121" t="n"/>
      <c r="L165" s="121" t="n"/>
      <c r="M165" s="121" t="n"/>
    </row>
    <row r="166" ht="18.75" customHeight="1" s="215">
      <c r="A166" s="152" t="n"/>
      <c r="B166" s="149" t="n">
        <v>149</v>
      </c>
      <c r="C166" s="223" t="inlineStr">
        <is>
          <t>NFF-149 – EMPLEADO (configuracion) - modo claro – Botón “Guardar SMTP”: Fondo naranja sólido. Texto blanco (#ffffff). Bordes redondeados. Alto uniforme respecto al sistema de botones. Sin degradado.</t>
        </is>
      </c>
      <c r="D166" s="218" t="n"/>
      <c r="E166" s="153" t="n"/>
      <c r="F166" s="55" t="inlineStr">
        <is>
          <t>x</t>
        </is>
      </c>
      <c r="G166" s="55" t="n"/>
      <c r="H166" s="55" t="n"/>
      <c r="I166" s="56" t="n"/>
      <c r="J166" s="121" t="n"/>
      <c r="K166" s="121" t="n"/>
      <c r="L166" s="121" t="n"/>
      <c r="M166" s="121" t="n"/>
    </row>
    <row r="167" ht="18.75" customHeight="1" s="215">
      <c r="A167" s="152" t="n"/>
      <c r="B167" s="149" t="n">
        <v>150</v>
      </c>
      <c r="C167" s="223" t="inlineStr">
        <is>
          <t>NFF-150 – EMPLEADO (configuracion) - modo claro – Sección “IMAP (recepción de correos)”: Tarjeta independiente con el mismo fondo gris claro y bordes redondeados que SMTP para mantener consistencia visual. Título en color oscuro con icono en gris oscuro. Texto descriptivo en gris medio.</t>
        </is>
      </c>
      <c r="D167" s="218" t="n"/>
      <c r="E167" s="153" t="n"/>
      <c r="F167" s="55" t="inlineStr">
        <is>
          <t>x</t>
        </is>
      </c>
      <c r="G167" s="55" t="n"/>
      <c r="H167" s="55" t="n"/>
      <c r="I167" s="56" t="n"/>
      <c r="J167" s="121" t="n"/>
      <c r="K167" s="121" t="n"/>
      <c r="L167" s="121" t="n"/>
      <c r="M167" s="121" t="n"/>
    </row>
    <row r="168" ht="18.75" customHeight="1" s="215">
      <c r="A168" s="152" t="n"/>
      <c r="B168" s="149" t="n">
        <v>151</v>
      </c>
      <c r="C168" s="223" t="inlineStr">
        <is>
          <t>NFF-151 – EMPLEADO (configuracion) - modo claro – Campos IMAP (Host, Puerto, Usuario, Contraseña): Mismo tratamiento visual que los campos SMTP (fondo claro, borde gris tenue, bordes redondeados).</t>
        </is>
      </c>
      <c r="D168" s="218" t="n"/>
      <c r="E168" s="153" t="n"/>
      <c r="F168" s="55" t="inlineStr">
        <is>
          <t>x</t>
        </is>
      </c>
      <c r="G168" s="55" t="n"/>
      <c r="H168" s="55" t="n"/>
      <c r="I168" s="56" t="n"/>
      <c r="J168" s="121" t="n"/>
      <c r="K168" s="121" t="n"/>
      <c r="L168" s="121" t="n"/>
      <c r="M168" s="121" t="n"/>
    </row>
    <row r="169" ht="18.75" customHeight="1" s="215">
      <c r="A169" s="152" t="n"/>
      <c r="B169" s="149" t="n">
        <v>152</v>
      </c>
      <c r="C169" s="223" t="inlineStr">
        <is>
          <t>NFF-152 – EMPLEADO (configuracion) - modo claro – Botón “Guardar IMAP”: Fondo verde suave (tono similar a verde medio). Texto blanco (#ffffff). Bordes redondeados. Diferenciación cromática respecto al botón SMTP.</t>
        </is>
      </c>
      <c r="D169" s="218" t="n"/>
      <c r="E169" s="153" t="n"/>
      <c r="F169" s="55" t="inlineStr">
        <is>
          <t>x</t>
        </is>
      </c>
      <c r="G169" s="55" t="n"/>
      <c r="H169" s="55" t="n"/>
      <c r="I169" s="56" t="n"/>
      <c r="J169" s="121" t="n"/>
      <c r="K169" s="121" t="n"/>
      <c r="L169" s="121" t="n"/>
      <c r="M169" s="121" t="n"/>
    </row>
    <row r="170" ht="18.75" customHeight="1" s="215">
      <c r="A170" s="152" t="n"/>
      <c r="B170" s="149" t="n">
        <v>153</v>
      </c>
      <c r="C170" s="223" t="inlineStr">
        <is>
          <t>NFF-153 – EMPLEADO (resumen) - modo oscuro – Fondo general del sitio: Color negro/gris muy oscuro (#0a0a0a aprox.).</t>
        </is>
      </c>
      <c r="D170" s="218" t="n"/>
      <c r="E170" s="153" t="n"/>
      <c r="F170" s="55" t="inlineStr">
        <is>
          <t>x</t>
        </is>
      </c>
      <c r="G170" s="55" t="n"/>
      <c r="H170" s="55" t="n"/>
      <c r="I170" s="56" t="n"/>
      <c r="J170" s="121" t="n"/>
      <c r="K170" s="121" t="n"/>
      <c r="L170" s="121" t="n"/>
      <c r="M170" s="121" t="n"/>
    </row>
    <row r="171" ht="18.75" customHeight="1" s="215">
      <c r="A171" s="152" t="n"/>
      <c r="B171" s="149" t="n">
        <v>154</v>
      </c>
      <c r="C171" s="223" t="inlineStr">
        <is>
          <t>NFF-154 – EMPLEADO (resumen) - modo oscuro – Barra lateral (Sidebar): Fondo negro sólido. Borde derecho sutil en gris oscuro.</t>
        </is>
      </c>
      <c r="D171" s="218" t="n"/>
      <c r="E171" s="153" t="n"/>
      <c r="F171" s="55" t="inlineStr">
        <is>
          <t>x</t>
        </is>
      </c>
      <c r="G171" s="55" t="n"/>
      <c r="H171" s="55" t="n"/>
      <c r="I171" s="56" t="n"/>
      <c r="J171" s="121" t="n"/>
      <c r="K171" s="121" t="n"/>
      <c r="L171" s="121" t="n"/>
      <c r="M171" s="121" t="n"/>
    </row>
    <row r="172" ht="18.75" customHeight="1" s="215">
      <c r="A172" s="152" t="n"/>
      <c r="B172" s="149" t="n">
        <v>155</v>
      </c>
      <c r="C172" s="223" t="inlineStr">
        <is>
          <t>NFF-155 – EMPLEADO (resumen) - modo oscuro – Logo "Reservify": Icono rojo redondeado con letra blanca. Texto en negrita, color blanco.</t>
        </is>
      </c>
      <c r="D172" s="218" t="n"/>
      <c r="E172" s="153" t="n"/>
      <c r="F172" s="55" t="inlineStr">
        <is>
          <t>x</t>
        </is>
      </c>
      <c r="G172" s="55" t="n"/>
      <c r="H172" s="55" t="n"/>
      <c r="I172" s="56" t="n"/>
      <c r="J172" s="121" t="n"/>
      <c r="K172" s="121" t="n"/>
      <c r="L172" s="121" t="n"/>
      <c r="M172" s="121" t="n"/>
    </row>
    <row r="173" ht="18.75" customHeight="1" s="215">
      <c r="A173" s="152" t="n"/>
      <c r="B173" s="149" t="n">
        <v>156</v>
      </c>
      <c r="C173" s="223" t="inlineStr">
        <is>
          <t>NFF-156 – EMPLEADO (resumen) - modo oscuro – Ítem de menú activo (Resumen): Fondo rojo oscuro (#7f1d1d). Texto blanco. Borde izquierdo rojo brillante. Border-radius 8px.</t>
        </is>
      </c>
      <c r="D173" s="218" t="n"/>
      <c r="E173" s="153" t="n"/>
      <c r="F173" s="55" t="inlineStr">
        <is>
          <t>x</t>
        </is>
      </c>
      <c r="G173" s="55" t="n"/>
      <c r="H173" s="55" t="n"/>
      <c r="I173" s="56" t="n"/>
      <c r="J173" s="121" t="n"/>
      <c r="K173" s="121" t="n"/>
      <c r="L173" s="121" t="n"/>
      <c r="M173" s="121" t="n"/>
    </row>
    <row r="174" ht="18.75" customHeight="1" s="215">
      <c r="A174" s="152" t="n"/>
      <c r="B174" s="149" t="n">
        <v>157</v>
      </c>
      <c r="C174" s="223" t="inlineStr">
        <is>
          <t>NFF-157 – EMPLEADO (resumen) - modo oscuro – Ítems de menú inactivos: Texto gris claro. Iconos lineales sencillos. Hover: fondo gris muy oscuro.</t>
        </is>
      </c>
      <c r="D174" s="218" t="n"/>
      <c r="E174" s="153" t="n"/>
      <c r="F174" s="55" t="inlineStr">
        <is>
          <t>x</t>
        </is>
      </c>
      <c r="G174" s="55" t="n"/>
      <c r="H174" s="55" t="n"/>
      <c r="I174" s="56" t="n"/>
      <c r="J174" s="121" t="n"/>
      <c r="K174" s="121" t="n"/>
      <c r="L174" s="121" t="n"/>
      <c r="M174" s="121" t="n"/>
    </row>
    <row r="175" ht="18.75" customHeight="1" s="215">
      <c r="A175" s="152" t="n"/>
      <c r="B175" s="149" t="n">
        <v>158</v>
      </c>
      <c r="C175" s="223" t="inlineStr">
        <is>
          <t>NFF-158 – EMPLEADO (resumen) - modo oscuro – Perfil de usuario (inferior): Contenedor con borde superior gris. Avatar circular rojo con inicial blanca.</t>
        </is>
      </c>
      <c r="D175" s="218" t="n"/>
      <c r="E175" s="153" t="n"/>
      <c r="F175" s="55" t="inlineStr">
        <is>
          <t>x</t>
        </is>
      </c>
      <c r="G175" s="55" t="n"/>
      <c r="H175" s="55" t="n"/>
      <c r="I175" s="56" t="n"/>
      <c r="J175" s="121" t="n"/>
      <c r="K175" s="121" t="n"/>
      <c r="L175" s="121" t="n"/>
      <c r="M175" s="121" t="n"/>
    </row>
    <row r="176" ht="18.75" customHeight="1" s="215">
      <c r="A176" s="152" t="n"/>
      <c r="B176" s="149" t="n">
        <v>159</v>
      </c>
      <c r="C176" s="223" t="inlineStr">
        <is>
          <t>NFF-159 – EMPLEADO (resumen) - modo oscuro – Encabezado principal: Texto "Buenas tardes" en blanco, fuente sans-serif, peso bold, tamaño aprox. 32px.</t>
        </is>
      </c>
      <c r="D176" s="218" t="n"/>
      <c r="E176" s="153" t="n"/>
      <c r="F176" s="55" t="inlineStr">
        <is>
          <t>x</t>
        </is>
      </c>
      <c r="G176" s="55" t="n"/>
      <c r="H176" s="55" t="n"/>
      <c r="I176" s="56" t="n"/>
      <c r="J176" s="121" t="n"/>
      <c r="K176" s="121" t="n"/>
      <c r="L176" s="121" t="n"/>
      <c r="M176" s="121" t="n"/>
    </row>
    <row r="177" ht="18.75" customHeight="1" s="215">
      <c r="A177" s="152" t="n"/>
      <c r="B177" s="149" t="n">
        <v>160</v>
      </c>
      <c r="C177" s="223" t="inlineStr">
        <is>
          <t>NFF-160 – EMPLEADO (resumen) - modo oscuro – Subtítulo descriptivo: Texto gris medio. Tamaño de fuente reducido (aprox. 14px).</t>
        </is>
      </c>
      <c r="D177" s="218" t="n"/>
      <c r="E177" s="153" t="n"/>
      <c r="F177" s="55" t="inlineStr">
        <is>
          <t>x</t>
        </is>
      </c>
      <c r="G177" s="55" t="n"/>
      <c r="H177" s="55" t="n"/>
      <c r="I177" s="56" t="n"/>
      <c r="J177" s="121" t="n"/>
      <c r="K177" s="121" t="n"/>
      <c r="L177" s="121" t="n"/>
      <c r="M177" s="121" t="n"/>
    </row>
    <row r="178" ht="18.75" customHeight="1" s="215">
      <c r="A178" s="152" t="n"/>
      <c r="B178" s="149" t="n">
        <v>161</v>
      </c>
      <c r="C178" s="223" t="inlineStr">
        <is>
          <t>NFF-161 – EMPLEADO (resumen) - modo oscuro – Subtítulo descriptivo: Texto gris medio. Tamaño de fuente reducido (aprox. 14px).</t>
        </is>
      </c>
      <c r="D178" s="218" t="n"/>
      <c r="E178" s="153" t="n"/>
      <c r="F178" s="55" t="inlineStr">
        <is>
          <t>x</t>
        </is>
      </c>
      <c r="G178" s="55" t="n"/>
      <c r="H178" s="55" t="n"/>
      <c r="I178" s="56" t="n"/>
      <c r="J178" s="121" t="n"/>
      <c r="K178" s="121" t="n"/>
      <c r="L178" s="121" t="n"/>
      <c r="M178" s="121" t="n"/>
    </row>
    <row r="179" ht="18.75" customHeight="1" s="215">
      <c r="A179" s="152" t="n"/>
      <c r="B179" s="149" t="n">
        <v>162</v>
      </c>
      <c r="C179" s="223" t="inlineStr">
        <is>
          <t>NFF-162 – EMPLEADO (resumen) - modo oscuro – Contenedor de tarjeta: Fondo gris oscuro translúcido. Borde delgado gris. Border-radius 12px.-</t>
        </is>
      </c>
      <c r="D179" s="218" t="n"/>
      <c r="E179" s="153" t="n"/>
      <c r="F179" s="55" t="inlineStr">
        <is>
          <t>x</t>
        </is>
      </c>
      <c r="G179" s="55" t="n"/>
      <c r="H179" s="55" t="n"/>
      <c r="I179" s="56" t="n"/>
      <c r="J179" s="121" t="n"/>
      <c r="K179" s="121" t="n"/>
      <c r="L179" s="121" t="n"/>
      <c r="M179" s="121" t="n"/>
    </row>
    <row r="180" ht="18.75" customHeight="1" s="215">
      <c r="A180" s="152" t="n"/>
      <c r="B180" s="149" t="n">
        <v>163</v>
      </c>
      <c r="C180" s="223" t="inlineStr">
        <is>
          <t>NFF-163 – EMPLEADO (resumen) - modo oscuro – Títulos de tarjetas: Texto gris claro, alineado a la izquierda, tamaño pequeño.</t>
        </is>
      </c>
      <c r="D180" s="218" t="n"/>
      <c r="E180" s="153" t="n"/>
      <c r="F180" s="55" t="inlineStr">
        <is>
          <t>x</t>
        </is>
      </c>
      <c r="G180" s="55" t="n"/>
      <c r="H180" s="55" t="n"/>
      <c r="I180" s="56" t="n"/>
      <c r="J180" s="121" t="n"/>
      <c r="K180" s="121" t="n"/>
      <c r="L180" s="121" t="n"/>
      <c r="M180" s="121" t="n"/>
    </row>
    <row r="181" ht="18.75" customHeight="1" s="215">
      <c r="A181" s="152" t="n"/>
      <c r="B181" s="149" t="n">
        <v>164</v>
      </c>
      <c r="C181" s="223" t="inlineStr">
        <is>
          <t>NFF-164 – EMPLEADO (resumen) - modo oscuro – Valores numéricos: Texto blanco, tamaño grande (aprox. 24px), peso semi-bold.</t>
        </is>
      </c>
      <c r="D181" s="218" t="n"/>
      <c r="E181" s="153" t="n"/>
      <c r="F181" s="55" t="inlineStr">
        <is>
          <t>x</t>
        </is>
      </c>
      <c r="G181" s="55" t="n"/>
      <c r="H181" s="55" t="n"/>
      <c r="I181" s="56" t="n"/>
      <c r="J181" s="121" t="n"/>
      <c r="K181" s="121" t="n"/>
      <c r="L181" s="121" t="n"/>
      <c r="M181" s="121" t="n"/>
    </row>
    <row r="182" ht="18.75" customHeight="1" s="215">
      <c r="A182" s="152" t="n"/>
      <c r="B182" s="149" t="n">
        <v>165</v>
      </c>
      <c r="C182" s="223" t="inlineStr">
        <is>
          <t>NFF-165 – EMPLEADO (resumen) - modo oscuro – Iconos de tarjetas: Ubicados en la esquina superior derecha. Contenedor cuadrado pequeño con bordes redondeados y colores temáticos (rojo, naranja, morado, dorado) con baja opacidad.</t>
        </is>
      </c>
      <c r="D182" s="218" t="n"/>
      <c r="E182" s="153" t="n"/>
      <c r="F182" s="55" t="inlineStr">
        <is>
          <t>x</t>
        </is>
      </c>
      <c r="G182" s="55" t="n"/>
      <c r="H182" s="55" t="n"/>
      <c r="I182" s="56" t="n"/>
      <c r="J182" s="121" t="n"/>
      <c r="K182" s="121" t="n"/>
      <c r="L182" s="121" t="n"/>
      <c r="M182" s="121" t="n"/>
    </row>
    <row r="183" ht="18.75" customHeight="1" s="215">
      <c r="A183" s="152" t="n"/>
      <c r="B183" s="149" t="n">
        <v>166</v>
      </c>
      <c r="C183" s="223" t="inlineStr">
        <is>
          <t>NFF-166 – EMPLEADO (resumen) - modo oscuro – Etiquetas de estado (subtexto): Texto gris oscuro/medio debajo del valor principal.</t>
        </is>
      </c>
      <c r="D183" s="218" t="n"/>
      <c r="E183" s="153" t="n"/>
      <c r="F183" s="55" t="inlineStr">
        <is>
          <t>x</t>
        </is>
      </c>
      <c r="G183" s="55" t="n"/>
      <c r="H183" s="55" t="n"/>
      <c r="I183" s="56" t="n"/>
      <c r="J183" s="121" t="n"/>
      <c r="K183" s="121" t="n"/>
      <c r="L183" s="121" t="n"/>
      <c r="M183" s="121" t="n"/>
    </row>
    <row r="184" ht="18.75" customHeight="1" s="215">
      <c r="A184" s="152" t="n"/>
      <c r="B184" s="149" t="n">
        <v>167</v>
      </c>
      <c r="C184" s="223" t="inlineStr">
        <is>
          <t>NFF-167 – EMPLEADO (resumen) - modo oscuro – Contenedor de "Próximas reservas": Tarjeta de ancho completo. Fondo igual a las métricas. Borde gris suave.</t>
        </is>
      </c>
      <c r="D184" s="218" t="n"/>
      <c r="E184" s="153" t="n"/>
      <c r="F184" s="55" t="inlineStr">
        <is>
          <t>x</t>
        </is>
      </c>
      <c r="G184" s="55" t="n"/>
      <c r="H184" s="55" t="n"/>
      <c r="I184" s="56" t="n"/>
      <c r="J184" s="121" t="n"/>
      <c r="K184" s="121" t="n"/>
      <c r="L184" s="121" t="n"/>
      <c r="M184" s="121" t="n"/>
    </row>
    <row r="185" ht="18.75" customHeight="1" s="215">
      <c r="A185" s="152" t="n"/>
      <c r="B185" s="149" t="n">
        <v>168</v>
      </c>
      <c r="C185" s="223" t="inlineStr">
        <is>
          <t>NFF-168 – EMPLEADO (resumen) - modo oscuro – Títulos de sección interna: Texto blanco, peso bold. Margen inferior consistente.</t>
        </is>
      </c>
      <c r="D185" s="218" t="n"/>
      <c r="E185" s="153" t="n"/>
      <c r="F185" s="55" t="inlineStr">
        <is>
          <t>x</t>
        </is>
      </c>
      <c r="G185" s="55" t="n"/>
      <c r="H185" s="55" t="n"/>
      <c r="I185" s="56" t="n"/>
      <c r="J185" s="121" t="n"/>
      <c r="K185" s="121" t="n"/>
      <c r="L185" s="121" t="n"/>
      <c r="M185" s="121" t="n"/>
    </row>
    <row r="186" ht="18.75" customHeight="1" s="215">
      <c r="A186" s="152" t="n"/>
      <c r="B186" s="149" t="n">
        <v>169</v>
      </c>
      <c r="C186" s="223" t="inlineStr">
        <is>
          <t>NFF-169 – EMPLEADO (resumen) - modo oscuro – Mensaje de estado vacío: Texto gris medio, centrado en el contenedor.</t>
        </is>
      </c>
      <c r="D186" s="218" t="n"/>
      <c r="E186" s="153" t="n"/>
      <c r="F186" s="55" t="inlineStr">
        <is>
          <t>x</t>
        </is>
      </c>
      <c r="G186" s="55" t="n"/>
      <c r="H186" s="55" t="n"/>
      <c r="I186" s="56" t="n"/>
      <c r="J186" s="121" t="n"/>
      <c r="K186" s="121" t="n"/>
      <c r="L186" s="121" t="n"/>
      <c r="M186" s="121" t="n"/>
    </row>
    <row r="187" ht="18.75" customHeight="1" s="215">
      <c r="A187" s="152" t="n"/>
      <c r="B187" s="149" t="n">
        <v>170</v>
      </c>
      <c r="C187" s="223" t="inlineStr">
        <is>
          <t>NFF-170 – EMPLEADO (mesas) - modo oscuro – Ítem de menú activo (Mesas): Fondo rojo oscuro (#7f1d1d). Texto blanco puro. Borde izquierdo rojo brillante. Border-radius 8px.</t>
        </is>
      </c>
      <c r="D187" s="218" t="n"/>
      <c r="E187" s="153" t="n"/>
      <c r="F187" s="55" t="inlineStr">
        <is>
          <t>x</t>
        </is>
      </c>
      <c r="G187" s="55" t="n"/>
      <c r="H187" s="55" t="n"/>
      <c r="I187" s="56" t="n"/>
      <c r="J187" s="121" t="n"/>
      <c r="K187" s="121" t="n"/>
      <c r="L187" s="121" t="n"/>
      <c r="M187" s="121" t="n"/>
    </row>
    <row r="188" ht="18.75" customHeight="1" s="215">
      <c r="A188" s="152" t="n"/>
      <c r="B188" s="149" t="n">
        <v>171</v>
      </c>
      <c r="C188" s="223" t="inlineStr">
        <is>
          <t>NFF-171 – EMPLEADO (mesas) - modo oscuro – Ítem de menú previo (Resumen): Texto gris claro. Sin fondo. Icono lineal.</t>
        </is>
      </c>
      <c r="D188" s="218" t="n"/>
      <c r="E188" s="153" t="n"/>
      <c r="F188" s="55" t="inlineStr">
        <is>
          <t>x</t>
        </is>
      </c>
      <c r="G188" s="55" t="n"/>
      <c r="H188" s="55" t="n"/>
      <c r="I188" s="56" t="n"/>
      <c r="J188" s="121" t="n"/>
      <c r="K188" s="121" t="n"/>
      <c r="L188" s="121" t="n"/>
      <c r="M188" s="121" t="n"/>
    </row>
    <row r="189" ht="18.75" customHeight="1" s="215">
      <c r="A189" s="152" t="n"/>
      <c r="B189" s="149" t="n">
        <v>172</v>
      </c>
      <c r="C189" s="223" t="inlineStr">
        <is>
          <t>NFF-172 – EMPLEADO (mesas) - modo oscuro – Separadores de categoría: Texto en mayúsculas, color gris oscuro, tamaño de fuente pequeño (aprox. 10px-12px).</t>
        </is>
      </c>
      <c r="D189" s="218" t="n"/>
      <c r="E189" s="153" t="n"/>
      <c r="F189" s="55" t="inlineStr">
        <is>
          <t>x</t>
        </is>
      </c>
      <c r="G189" s="55" t="n"/>
      <c r="H189" s="55" t="n"/>
      <c r="I189" s="56" t="n"/>
      <c r="J189" s="121" t="n"/>
      <c r="K189" s="121" t="n"/>
      <c r="L189" s="121" t="n"/>
      <c r="M189" s="121" t="n"/>
    </row>
    <row r="190" ht="18.75" customHeight="1" s="215">
      <c r="A190" s="152" t="n"/>
      <c r="B190" s="149" t="n">
        <v>173</v>
      </c>
      <c r="C190" s="223" t="inlineStr">
        <is>
          <t>NFF-173 – EMPLEADO (mesas) - modo oscuro – Breadcrumb (Mesas): Texto gris medio ubicado sobre el título principal. Tamaño pequeño.</t>
        </is>
      </c>
      <c r="D190" s="218" t="n"/>
      <c r="E190" s="153" t="n"/>
      <c r="F190" s="55" t="inlineStr">
        <is>
          <t>x</t>
        </is>
      </c>
      <c r="G190" s="55" t="n"/>
      <c r="H190" s="55" t="n"/>
      <c r="I190" s="56" t="n"/>
      <c r="J190" s="121" t="n"/>
      <c r="K190" s="121" t="n"/>
      <c r="L190" s="121" t="n"/>
      <c r="M190" s="121" t="n"/>
    </row>
    <row r="191" ht="18.75" customHeight="1" s="215">
      <c r="A191" s="152" t="n"/>
      <c r="B191" s="149" t="n">
        <v>174</v>
      </c>
      <c r="C191" s="223" t="inlineStr">
        <is>
          <t>NFF-174 – EMPLEADO (mesas) - modo oscuro – Título principal: Texto "Buenas tardes" en blanco. Peso bold. Fuente sans-serif.</t>
        </is>
      </c>
      <c r="D191" s="218" t="n"/>
      <c r="E191" s="153" t="n"/>
      <c r="F191" s="55" t="inlineStr">
        <is>
          <t>x</t>
        </is>
      </c>
      <c r="G191" s="55" t="n"/>
      <c r="H191" s="55" t="n"/>
      <c r="I191" s="56" t="n"/>
      <c r="J191" s="121" t="n"/>
      <c r="K191" s="121" t="n"/>
      <c r="L191" s="121" t="n"/>
      <c r="M191" s="121" t="n"/>
    </row>
    <row r="192" ht="18.75" customHeight="1" s="215">
      <c r="A192" s="152" t="n"/>
      <c r="B192" s="149" t="n">
        <v>175</v>
      </c>
      <c r="C192" s="223" t="inlineStr">
        <is>
          <t>NFF-175 – EMPLEADO (mesas) - modo oscuro – Descripción de sección: Texto gris suave. Interlineado estándar.</t>
        </is>
      </c>
      <c r="D192" s="218" t="n"/>
      <c r="E192" s="153" t="n"/>
      <c r="F192" s="55" t="inlineStr">
        <is>
          <t>x</t>
        </is>
      </c>
      <c r="G192" s="55" t="n"/>
      <c r="H192" s="55" t="n"/>
      <c r="I192" s="56" t="n"/>
      <c r="J192" s="121" t="n"/>
      <c r="K192" s="121" t="n"/>
      <c r="L192" s="121" t="n"/>
      <c r="M192" s="121" t="n"/>
    </row>
    <row r="193" ht="18.75" customHeight="1" s="215">
      <c r="A193" s="152" t="n"/>
      <c r="B193" s="149" t="n">
        <v>176</v>
      </c>
      <c r="C193" s="223" t="inlineStr">
        <is>
          <t>NFF-176 – EMPLEADO (mesas) - modo oscuro – Título de sección: "Estado de mesas" en blanco. Peso semi-bold. Tamaño inferior al título principal.</t>
        </is>
      </c>
      <c r="D193" s="218" t="n"/>
      <c r="E193" s="153" t="n"/>
      <c r="F193" s="55" t="inlineStr">
        <is>
          <t>x</t>
        </is>
      </c>
      <c r="G193" s="55" t="n"/>
      <c r="H193" s="55" t="n"/>
      <c r="I193" s="56" t="n"/>
      <c r="J193" s="121" t="n"/>
      <c r="K193" s="121" t="n"/>
      <c r="L193" s="121" t="n"/>
      <c r="M193" s="121" t="n"/>
    </row>
    <row r="194" ht="18.75" customHeight="1" s="215">
      <c r="A194" s="152" t="n"/>
      <c r="B194" s="149" t="n">
        <v>177</v>
      </c>
      <c r="C194" s="223" t="inlineStr">
        <is>
          <t>NFF-177 – EMPLEADO (mesas) - modo oscuro – Leyendas de estado (Badges): Etiquetas con fondo de color con baja opacidad y texto en color sólido.</t>
        </is>
      </c>
      <c r="D194" s="218" t="n"/>
      <c r="E194" s="153" t="n"/>
      <c r="F194" s="55" t="inlineStr">
        <is>
          <t>x</t>
        </is>
      </c>
      <c r="G194" s="55" t="n"/>
      <c r="H194" s="55" t="n"/>
      <c r="I194" s="56" t="n"/>
      <c r="J194" s="121" t="n"/>
      <c r="K194" s="121" t="n"/>
      <c r="L194" s="121" t="n"/>
      <c r="M194" s="121" t="n"/>
    </row>
    <row r="195" ht="18.75" customHeight="1" s="215">
      <c r="A195" s="152" t="n"/>
      <c r="B195" s="149" t="n">
        <v>178</v>
      </c>
      <c r="C195" s="223" t="inlineStr">
        <is>
          <t>NFF-178 – EMPLEADO (mesas) - modo oscuro – Contenedor de visualización: Tarjeta de ancho completo. Fondo gris muy oscuro/negro. Borde delgado gris oscuro. Border-radius 12px.</t>
        </is>
      </c>
      <c r="D195" s="218" t="n"/>
      <c r="E195" s="153" t="n"/>
      <c r="F195" s="55" t="inlineStr">
        <is>
          <t>x</t>
        </is>
      </c>
      <c r="G195" s="55" t="n"/>
      <c r="H195" s="55" t="n"/>
      <c r="I195" s="56" t="n"/>
      <c r="J195" s="121" t="n"/>
      <c r="K195" s="121" t="n"/>
      <c r="L195" s="121" t="n"/>
      <c r="M195" s="121" t="n"/>
    </row>
    <row r="196" ht="18.75" customHeight="1" s="215">
      <c r="A196" s="152" t="n"/>
      <c r="B196" s="149" t="n">
        <v>179</v>
      </c>
      <c r="C196" s="223" t="inlineStr">
        <is>
          <t>NFF-179 – EMPLEADO (mesas) - modo oscuro – Mensaje de estado vacío: Texto gris medio ("No hay mesas cargadas"). Centrado horizontal y verticalmente dentro del contenedor. Altura mínima del contenedor aprox. 150px.</t>
        </is>
      </c>
      <c r="D196" s="218" t="n"/>
      <c r="E196" s="153" t="n"/>
      <c r="F196" s="55" t="inlineStr">
        <is>
          <t>x</t>
        </is>
      </c>
      <c r="G196" s="55" t="n"/>
      <c r="H196" s="55" t="n"/>
      <c r="I196" s="56" t="n"/>
      <c r="J196" s="121" t="n"/>
      <c r="K196" s="121" t="n"/>
      <c r="L196" s="121" t="n"/>
      <c r="M196" s="121" t="n"/>
    </row>
    <row r="197" ht="18.75" customHeight="1" s="215">
      <c r="A197" s="152" t="n"/>
      <c r="B197" s="149" t="n">
        <v>180</v>
      </c>
      <c r="C197" s="223" t="inlineStr">
        <is>
          <t>NFF-180 – EMPLEADO (reservas) - modo oscuro – Indicador de ubicación (Breadcrumb): Texto "Reservas" en gris claro, tamaño pequeño, situado sobre el título principal.</t>
        </is>
      </c>
      <c r="D197" s="218" t="n"/>
      <c r="E197" s="153" t="n"/>
      <c r="F197" s="55" t="inlineStr">
        <is>
          <t>x</t>
        </is>
      </c>
      <c r="G197" s="55" t="n"/>
      <c r="H197" s="55" t="n"/>
      <c r="I197" s="56" t="n"/>
      <c r="J197" s="121" t="n"/>
      <c r="K197" s="121" t="n"/>
      <c r="L197" s="121" t="n"/>
      <c r="M197" s="121" t="n"/>
    </row>
    <row r="198" ht="18.75" customHeight="1" s="215">
      <c r="A198" s="152" t="n"/>
      <c r="B198" s="149" t="n">
        <v>181</v>
      </c>
      <c r="C198" s="223" t="inlineStr">
        <is>
          <t>NFF-181 – EMPLEADO (reservas) - modo oscuro – Título de vista: "Reservas de hoy" en blanco, peso semi-bold, fuente sans-serif.</t>
        </is>
      </c>
      <c r="D198" s="218" t="n"/>
      <c r="E198" s="153" t="n"/>
      <c r="F198" s="55" t="inlineStr">
        <is>
          <t>x</t>
        </is>
      </c>
      <c r="G198" s="55" t="n"/>
      <c r="H198" s="55" t="n"/>
      <c r="I198" s="56" t="n"/>
      <c r="J198" s="121" t="n"/>
      <c r="K198" s="121" t="n"/>
      <c r="L198" s="121" t="n"/>
      <c r="M198" s="121" t="n"/>
    </row>
    <row r="199" ht="18.75" customHeight="1" s="215">
      <c r="A199" s="152" t="n"/>
      <c r="B199" s="149" t="n">
        <v>182</v>
      </c>
      <c r="C199" s="223" t="inlineStr">
        <is>
          <t>NFF-182 – EMPLEADO (reservas) - modo oscuro – Descripción de vista: Texto gris medio ("Gestiona todas las reservas del día").</t>
        </is>
      </c>
      <c r="D199" s="218" t="n"/>
      <c r="E199" s="153" t="n"/>
      <c r="F199" s="55" t="inlineStr">
        <is>
          <t>x</t>
        </is>
      </c>
      <c r="G199" s="55" t="n"/>
      <c r="H199" s="55" t="n"/>
      <c r="I199" s="56" t="n"/>
      <c r="J199" s="121" t="n"/>
      <c r="K199" s="121" t="n"/>
      <c r="L199" s="121" t="n"/>
      <c r="M199" s="121" t="n"/>
    </row>
    <row r="200" ht="18.75" customHeight="1" s="215">
      <c r="A200" s="152" t="n"/>
      <c r="B200" s="149" t="n">
        <v>183</v>
      </c>
      <c r="C200" s="223" t="inlineStr">
        <is>
          <t>NFF-183 – EMPLEADO (reservas) - modo oscuro – Distribución: Cuatro tarjetas horizontales de igual tamaño.</t>
        </is>
      </c>
      <c r="D200" s="218" t="n"/>
      <c r="E200" s="153" t="n"/>
      <c r="F200" s="55" t="inlineStr">
        <is>
          <t>x</t>
        </is>
      </c>
      <c r="G200" s="55" t="n"/>
      <c r="H200" s="55" t="n"/>
      <c r="I200" s="56" t="n"/>
      <c r="J200" s="121" t="n"/>
      <c r="K200" s="121" t="n"/>
      <c r="L200" s="121" t="n"/>
      <c r="M200" s="121" t="n"/>
    </row>
    <row r="201" ht="18.75" customHeight="1" s="215">
      <c r="A201" s="152" t="n"/>
      <c r="B201" s="149" t="n">
        <v>184</v>
      </c>
      <c r="C201" s="223" t="inlineStr">
        <is>
          <t>NFF-184 – EMPLEADO (reservas) - modo oscuro – Fondo de tarjetas: Gris muy oscuro con borde sutil.</t>
        </is>
      </c>
      <c r="D201" s="218" t="n"/>
      <c r="E201" s="153" t="n"/>
      <c r="F201" s="55" t="inlineStr">
        <is>
          <t>x</t>
        </is>
      </c>
      <c r="G201" s="55" t="n"/>
      <c r="H201" s="55" t="n"/>
      <c r="I201" s="56" t="n"/>
      <c r="J201" s="121" t="n"/>
      <c r="K201" s="121" t="n"/>
      <c r="L201" s="121" t="n"/>
      <c r="M201" s="121" t="n"/>
    </row>
    <row r="202" ht="18.75" customHeight="1" s="215">
      <c r="A202" s="152" t="n"/>
      <c r="B202" s="149" t="n">
        <v>185</v>
      </c>
      <c r="C202" s="223" t="inlineStr">
        <is>
          <t>NFF-185 – EMPLEADO (reservas) - modo oscuro – Border-radius: 10px.</t>
        </is>
      </c>
      <c r="D202" s="218" t="n"/>
      <c r="E202" s="153" t="n"/>
      <c r="F202" s="55" t="inlineStr">
        <is>
          <t>x</t>
        </is>
      </c>
      <c r="G202" s="55" t="n"/>
      <c r="H202" s="55" t="n"/>
      <c r="I202" s="56" t="n"/>
      <c r="J202" s="121" t="n"/>
      <c r="K202" s="121" t="n"/>
      <c r="L202" s="121" t="n"/>
      <c r="M202" s="121" t="n"/>
    </row>
    <row r="203" ht="18.75" customHeight="1" s="215">
      <c r="A203" s="152" t="n"/>
      <c r="B203" s="149" t="n">
        <v>186</v>
      </c>
      <c r="C203" s="223" t="inlineStr">
        <is>
          <t>NFF-186 – EMPLEADO (reservas) - modo oscuro – Cifras de estado: Número "0" en blanco, tamaño grande (aprox. 30px), alineado arriba a la izquierda.</t>
        </is>
      </c>
      <c r="D203" s="218" t="n"/>
      <c r="E203" s="153" t="n"/>
      <c r="F203" s="55" t="inlineStr">
        <is>
          <t>x</t>
        </is>
      </c>
      <c r="G203" s="55" t="n"/>
      <c r="H203" s="55" t="n"/>
      <c r="I203" s="56" t="n"/>
      <c r="J203" s="121" t="n"/>
      <c r="K203" s="121" t="n"/>
      <c r="L203" s="121" t="n"/>
      <c r="M203" s="121" t="n"/>
    </row>
    <row r="204" ht="18.75" customHeight="1" s="215">
      <c r="A204" s="152" t="n"/>
      <c r="B204" s="149" t="n">
        <v>187</v>
      </c>
      <c r="C204" s="223" t="inlineStr">
        <is>
          <t>NFF-187 – EMPLEADO (reservas) - modo oscuro – Etiquetas de estado: Texto gris claro (Pendientes, Confirmadas, En proceso, Completadas) debajo de la cifra.</t>
        </is>
      </c>
      <c r="D204" s="218" t="n"/>
      <c r="E204" s="153" t="n"/>
      <c r="F204" s="55" t="inlineStr">
        <is>
          <t>x</t>
        </is>
      </c>
      <c r="G204" s="55" t="n"/>
      <c r="H204" s="55" t="n"/>
      <c r="I204" s="56" t="n"/>
      <c r="J204" s="121" t="n"/>
      <c r="K204" s="121" t="n"/>
      <c r="L204" s="121" t="n"/>
      <c r="M204" s="121" t="n"/>
    </row>
    <row r="205" ht="18.75" customHeight="1" s="215">
      <c r="A205" s="152" t="n"/>
      <c r="B205" s="149" t="n">
        <v>188</v>
      </c>
      <c r="C205" s="223" t="inlineStr">
        <is>
          <t>NFF-188 – EMPLEADO (reservas) - modo oscuro – Tipo de contenedor: Tarjeta rectangular de ancho completo.</t>
        </is>
      </c>
      <c r="D205" s="218" t="n"/>
      <c r="E205" s="153" t="n"/>
      <c r="F205" s="55" t="inlineStr">
        <is>
          <t>x</t>
        </is>
      </c>
      <c r="G205" s="55" t="n"/>
      <c r="H205" s="55" t="n"/>
      <c r="I205" s="56" t="n"/>
      <c r="J205" s="121" t="n"/>
      <c r="K205" s="121" t="n"/>
      <c r="L205" s="121" t="n"/>
      <c r="M205" s="121" t="n"/>
    </row>
    <row r="206" ht="18.75" customHeight="1" s="215">
      <c r="A206" s="152" t="n"/>
      <c r="B206" s="149" t="n">
        <v>189</v>
      </c>
      <c r="C206" s="223" t="inlineStr">
        <is>
          <t>NFF-189 – EMPLEADO (reservas) - modo oscuro – Fondo: Consistente con las tarjetas de métricas.</t>
        </is>
      </c>
      <c r="D206" s="218" t="n"/>
      <c r="E206" s="153" t="n"/>
      <c r="F206" s="55" t="inlineStr">
        <is>
          <t>x</t>
        </is>
      </c>
      <c r="G206" s="55" t="n"/>
      <c r="H206" s="55" t="n"/>
      <c r="I206" s="56" t="n"/>
      <c r="J206" s="121" t="n"/>
      <c r="K206" s="121" t="n"/>
      <c r="L206" s="121" t="n"/>
      <c r="M206" s="121" t="n"/>
    </row>
    <row r="207" ht="18.75" customHeight="1" s="215">
      <c r="A207" s="152" t="n"/>
      <c r="B207" s="149" t="n">
        <v>190</v>
      </c>
      <c r="C207" s="223" t="inlineStr">
        <is>
          <t>NFF-190 – EMPLEADO (reservas) - modo oscuro – Bordes: Redondeados (12px) con contorno gris tenue.</t>
        </is>
      </c>
      <c r="D207" s="218" t="n"/>
      <c r="E207" s="153" t="n"/>
      <c r="F207" s="55" t="inlineStr">
        <is>
          <t>x</t>
        </is>
      </c>
      <c r="G207" s="55" t="n"/>
      <c r="H207" s="55" t="n"/>
      <c r="I207" s="56" t="n"/>
      <c r="J207" s="121" t="n"/>
      <c r="K207" s="121" t="n"/>
      <c r="L207" s="121" t="n"/>
      <c r="M207" s="121" t="n"/>
    </row>
    <row r="208" ht="18.75" customHeight="1" s="215">
      <c r="A208" s="152" t="n"/>
      <c r="B208" s="149" t="n">
        <v>191</v>
      </c>
      <c r="C208" s="223" t="inlineStr">
        <is>
          <t>NFF-191 – EMPLEADO (reservas) - modo oscuro – Mensaje de estado vacío: Texto "No hay reservas de hoy." en color gris medio, centrado en el cuerpo del contenedor.</t>
        </is>
      </c>
      <c r="D208" s="218" t="n"/>
      <c r="E208" s="153" t="n"/>
      <c r="F208" s="55" t="inlineStr">
        <is>
          <t>x</t>
        </is>
      </c>
      <c r="G208" s="55" t="n"/>
      <c r="H208" s="55" t="n"/>
      <c r="I208" s="56" t="n"/>
      <c r="J208" s="121" t="n"/>
      <c r="K208" s="121" t="n"/>
      <c r="L208" s="121" t="n"/>
      <c r="M208" s="121" t="n"/>
    </row>
    <row r="209" ht="18.75" customHeight="1" s="215">
      <c r="A209" s="152" t="n"/>
      <c r="B209" s="149" t="n">
        <v>192</v>
      </c>
      <c r="C209" s="223" t="inlineStr">
        <is>
          <t>NFF-192 – EMPLEADO (reservas) - modo oscuro – Botón "Reservas": Fondo rojo oscuro (#7f1d1d), texto blanco, borde izquierdo rojo brillante.</t>
        </is>
      </c>
      <c r="D209" s="218" t="n"/>
      <c r="E209" s="153" t="n"/>
      <c r="F209" s="55" t="inlineStr">
        <is>
          <t>x</t>
        </is>
      </c>
      <c r="G209" s="55" t="n"/>
      <c r="H209" s="55" t="n"/>
      <c r="I209" s="56" t="n"/>
      <c r="J209" s="121" t="n"/>
      <c r="K209" s="121" t="n"/>
      <c r="L209" s="121" t="n"/>
      <c r="M209" s="121" t="n"/>
    </row>
    <row r="210" ht="18.75" customHeight="1" s="215">
      <c r="A210" s="152" t="n"/>
      <c r="B210" s="149" t="n">
        <v>193</v>
      </c>
      <c r="C210" s="223" t="inlineStr">
        <is>
          <t>NFF-193 – EMPLEADO (reservas) - modo oscuro – Border-radius del botón: 8px.</t>
        </is>
      </c>
      <c r="D210" s="218" t="n"/>
      <c r="E210" s="153" t="n"/>
      <c r="F210" s="55" t="inlineStr">
        <is>
          <t>x</t>
        </is>
      </c>
      <c r="G210" s="55" t="n"/>
      <c r="H210" s="55" t="n"/>
      <c r="I210" s="56" t="n"/>
      <c r="J210" s="121" t="n"/>
      <c r="K210" s="121" t="n"/>
      <c r="L210" s="121" t="n"/>
      <c r="M210" s="121" t="n"/>
    </row>
    <row r="211" ht="18.75" customHeight="1" s="215">
      <c r="A211" s="152" t="n"/>
      <c r="B211" s="149" t="n">
        <v>194</v>
      </c>
      <c r="C211" s="223" t="inlineStr">
        <is>
          <t>NFF-194 – EMPLEADO (correos) - modo oscuro – Tarjeta de bandeja de entrada: Fondo gris muy oscuro con borde sutil. Border-radius 12px. Padding interno generoso.</t>
        </is>
      </c>
      <c r="D211" s="218" t="n"/>
      <c r="E211" s="153" t="n"/>
      <c r="F211" s="55" t="inlineStr">
        <is>
          <t>x</t>
        </is>
      </c>
      <c r="G211" s="55" t="n"/>
      <c r="H211" s="55" t="n"/>
      <c r="I211" s="56" t="n"/>
      <c r="J211" s="121" t="n"/>
      <c r="K211" s="121" t="n"/>
      <c r="L211" s="121" t="n"/>
      <c r="M211" s="121" t="n"/>
    </row>
    <row r="212" ht="18.75" customHeight="1" s="215">
      <c r="A212" s="152" t="n"/>
      <c r="B212" s="149" t="n">
        <v>195</v>
      </c>
      <c r="C212" s="223" t="inlineStr">
        <is>
          <t>NFF-195 – EMPLEADO (correos) - modo oscuro – Encabezado de sección: Icono de sobre lineal seguido del texto "Correos no leídos" en blanco y negrita.</t>
        </is>
      </c>
      <c r="D212" s="218" t="n"/>
      <c r="E212" s="153" t="n"/>
      <c r="F212" s="55" t="inlineStr">
        <is>
          <t>x</t>
        </is>
      </c>
      <c r="G212" s="55" t="n"/>
      <c r="H212" s="55" t="n"/>
      <c r="I212" s="56" t="n"/>
      <c r="J212" s="121" t="n"/>
      <c r="K212" s="121" t="n"/>
      <c r="L212" s="121" t="n"/>
      <c r="M212" s="121" t="n"/>
    </row>
    <row r="213" ht="18.75" customHeight="1" s="215">
      <c r="A213" s="152" t="n"/>
      <c r="B213" s="149" t="n">
        <v>196</v>
      </c>
      <c r="C213" s="223" t="inlineStr">
        <is>
          <t>NFF-196 – EMPLEADO (correos) - modo oscuro – Texto informativo: Color gris medio, tamaño de fuente reducido, ubicado bajo el título de la tarjeta.</t>
        </is>
      </c>
      <c r="D213" s="218" t="n"/>
      <c r="E213" s="153" t="n"/>
      <c r="F213" s="55" t="inlineStr">
        <is>
          <t>x</t>
        </is>
      </c>
      <c r="G213" s="55" t="n"/>
      <c r="H213" s="55" t="n"/>
      <c r="I213" s="56" t="n"/>
      <c r="J213" s="121" t="n"/>
      <c r="K213" s="121" t="n"/>
      <c r="L213" s="121" t="n"/>
      <c r="M213" s="121" t="n"/>
    </row>
    <row r="214" ht="18.75" customHeight="1" s="215">
      <c r="A214" s="152" t="n"/>
      <c r="B214" s="149" t="n">
        <v>197</v>
      </c>
      <c r="C214" s="223" t="inlineStr">
        <is>
          <t>NFF-197 – EMPLEADO (correos) - modo oscuro – Botón "Actualizar": Fondo transparente con borde gris. Texto blanco. Icono de rotación a la izquierda. Border-radius 8px. Hover: fondo gris oscuro suave.</t>
        </is>
      </c>
      <c r="D214" s="218" t="n"/>
      <c r="E214" s="153" t="n"/>
      <c r="F214" s="55" t="inlineStr">
        <is>
          <t>x</t>
        </is>
      </c>
      <c r="G214" s="55" t="n"/>
      <c r="H214" s="55" t="n"/>
      <c r="I214" s="56" t="n"/>
      <c r="J214" s="121" t="n"/>
      <c r="K214" s="121" t="n"/>
      <c r="L214" s="121" t="n"/>
      <c r="M214" s="121" t="n"/>
    </row>
    <row r="215" ht="18.75" customHeight="1" s="215">
      <c r="A215" s="152" t="n"/>
      <c r="B215" s="149" t="n">
        <v>198</v>
      </c>
      <c r="C215" s="223" t="inlineStr">
        <is>
          <t>NFF-198 – EMPLEADO (correos) - modo oscuro – Ítem de correo: Contenedor con borde inferior gris oscuro para separación. Espaciado vertical consistente.</t>
        </is>
      </c>
      <c r="D215" s="218" t="n"/>
      <c r="E215" s="153" t="n"/>
      <c r="F215" s="55" t="inlineStr">
        <is>
          <t>x</t>
        </is>
      </c>
      <c r="G215" s="55" t="n"/>
      <c r="H215" s="55" t="n"/>
      <c r="I215" s="56" t="n"/>
      <c r="J215" s="121" t="n"/>
      <c r="K215" s="121" t="n"/>
      <c r="L215" s="121" t="n"/>
      <c r="M215" s="121" t="n"/>
    </row>
    <row r="216" ht="18.75" customHeight="1" s="215">
      <c r="A216" s="152" t="n"/>
      <c r="B216" s="149" t="n">
        <v>199</v>
      </c>
      <c r="C216" s="223" t="inlineStr">
        <is>
          <t>NFF-199 – EMPLEADO (correos) - modo oscuro – Asunto del correo: Texto en blanco, peso semi-bold, tamaño ligeramente mayor al cuerpo.</t>
        </is>
      </c>
      <c r="D216" s="218" t="n"/>
      <c r="E216" s="153" t="n"/>
      <c r="F216" s="55" t="inlineStr">
        <is>
          <t>x</t>
        </is>
      </c>
      <c r="G216" s="55" t="n"/>
      <c r="H216" s="55" t="n"/>
      <c r="I216" s="56" t="n"/>
      <c r="J216" s="121" t="n"/>
      <c r="K216" s="121" t="n"/>
      <c r="L216" s="121" t="n"/>
      <c r="M216" s="121" t="n"/>
    </row>
    <row r="217" ht="18.75" customHeight="1" s="215">
      <c r="A217" s="152" t="n"/>
      <c r="B217" s="149" t="n">
        <v>200</v>
      </c>
      <c r="C217" s="223" t="inlineStr">
        <is>
          <t>NFF-200 – EMPLEADO (correos) - modo oscuro – Remitente y dirección: Texto gris claro en formato "Nombre email@ejemplo.com".</t>
        </is>
      </c>
      <c r="D217" s="218" t="n"/>
      <c r="E217" s="153" t="n"/>
      <c r="F217" s="55" t="inlineStr">
        <is>
          <t>x</t>
        </is>
      </c>
      <c r="G217" s="55" t="n"/>
      <c r="H217" s="55" t="n"/>
      <c r="I217" s="56" t="n"/>
      <c r="J217" s="121" t="n"/>
      <c r="K217" s="121" t="n"/>
      <c r="L217" s="121" t="n"/>
      <c r="M217" s="121" t="n"/>
    </row>
    <row r="218" ht="18.75" customHeight="1" s="215">
      <c r="A218" s="152" t="n"/>
      <c r="B218" s="149" t="n">
        <v>201</v>
      </c>
      <c r="C218" s="223" t="inlineStr">
        <is>
          <t>NFF-201 – EMPLEADO (correos) - modo oscuro – Previsualización del contenido: Texto gris medio, limitado a dos líneas de texto máximo.</t>
        </is>
      </c>
      <c r="D218" s="218" t="n"/>
      <c r="E218" s="153" t="n"/>
      <c r="F218" s="55" t="inlineStr">
        <is>
          <t>x</t>
        </is>
      </c>
      <c r="G218" s="55" t="n"/>
      <c r="H218" s="55" t="n"/>
      <c r="I218" s="56" t="n"/>
      <c r="J218" s="121" t="n"/>
      <c r="K218" s="121" t="n"/>
      <c r="L218" s="121" t="n"/>
      <c r="M218" s="121" t="n"/>
    </row>
    <row r="219" ht="18.75" customHeight="1" s="215">
      <c r="A219" s="152" t="n"/>
      <c r="B219" s="149" t="n">
        <v>202</v>
      </c>
      <c r="C219" s="223" t="inlineStr">
        <is>
          <t>NFF-202 – EMPLEADO (correos) - modo oscuro – Marca de tiempo (Fecha/Hora): Ubicada en la esquina superior derecha de cada ítem. Texto gris oscuro, tamaño pequeño.</t>
        </is>
      </c>
      <c r="D219" s="218" t="n"/>
      <c r="E219" s="153" t="n"/>
      <c r="F219" s="55" t="inlineStr">
        <is>
          <t>x</t>
        </is>
      </c>
      <c r="G219" s="55" t="n"/>
      <c r="H219" s="55" t="n"/>
      <c r="I219" s="56" t="n"/>
      <c r="J219" s="121" t="n"/>
      <c r="K219" s="121" t="n"/>
      <c r="L219" s="121" t="n"/>
      <c r="M219" s="121" t="n"/>
    </row>
    <row r="220" ht="18.75" customHeight="1" s="215">
      <c r="A220" s="152" t="n"/>
      <c r="B220" s="149" t="n">
        <v>203</v>
      </c>
      <c r="C220" s="223" t="inlineStr">
        <is>
          <t>NFF-203 – EMPLEADO (correos) - modo oscuro – Botón "Correos": Fondo rojo oscuro (#7f1d1d). Texto blanco puro. Borde izquierdo rojo brillante. Border-radius 8px.</t>
        </is>
      </c>
      <c r="D220" s="218" t="n"/>
      <c r="E220" s="153" t="n"/>
      <c r="F220" s="55" t="inlineStr">
        <is>
          <t>x</t>
        </is>
      </c>
      <c r="G220" s="55" t="n"/>
      <c r="H220" s="55" t="n"/>
      <c r="I220" s="56" t="n"/>
      <c r="J220" s="121" t="n"/>
      <c r="K220" s="121" t="n"/>
      <c r="L220" s="121" t="n"/>
      <c r="M220" s="121" t="n"/>
    </row>
    <row r="221" ht="18.75" customHeight="1" s="215">
      <c r="A221" s="152" t="n"/>
      <c r="B221" s="149" t="n">
        <v>204</v>
      </c>
      <c r="C221" s="223" t="inlineStr">
        <is>
          <t>NFF-204 – EMPLEADO (correos) - modo oscuro – Indicador de perfil (inferior): Avatar circular rojo con letra "D" blanca. Nombre de usuario "Dueño" en blanco.</t>
        </is>
      </c>
      <c r="D221" s="218" t="n"/>
      <c r="E221" s="153" t="n"/>
      <c r="F221" s="55" t="inlineStr">
        <is>
          <t>x</t>
        </is>
      </c>
      <c r="G221" s="55" t="n"/>
      <c r="H221" s="55" t="n"/>
      <c r="I221" s="56" t="n"/>
      <c r="J221" s="121" t="n"/>
      <c r="K221" s="121" t="n"/>
      <c r="L221" s="121" t="n"/>
      <c r="M221" s="121" t="n"/>
    </row>
    <row r="222" ht="18.75" customHeight="1" s="215">
      <c r="A222" s="152" t="n"/>
      <c r="B222" s="149" t="n">
        <v>205</v>
      </c>
      <c r="C222" s="223" t="inlineStr">
        <is>
          <t>NFF-205 – EMPLEADO (correos) - modo oscuro – Esquema de color: Mantiene el modo oscuro con contrastes en blanco para legibilidad y rojo para estados activos.</t>
        </is>
      </c>
      <c r="D222" s="218" t="n"/>
      <c r="E222" s="153" t="n"/>
      <c r="F222" s="55" t="inlineStr">
        <is>
          <t>x</t>
        </is>
      </c>
      <c r="G222" s="55" t="n"/>
      <c r="H222" s="55" t="n"/>
      <c r="I222" s="56" t="n"/>
      <c r="J222" s="121" t="n"/>
      <c r="K222" s="121" t="n"/>
      <c r="L222" s="121" t="n"/>
      <c r="M222" s="121" t="n"/>
    </row>
    <row r="223" ht="18.75" customHeight="1" s="215">
      <c r="A223" s="152" t="n"/>
      <c r="B223" s="149" t="n">
        <v>206</v>
      </c>
      <c r="C223" s="223" t="inlineStr">
        <is>
          <t>NFF-206 – EMPLEADO (correos) - modo oscuro – Tipografía: Sans-serif uniforme en toda la interfaz con jerarquía clara mediante pesos (bold/regular) y variaciones de gris.</t>
        </is>
      </c>
      <c r="D223" s="218" t="n"/>
      <c r="E223" s="153" t="n"/>
      <c r="F223" s="55" t="inlineStr">
        <is>
          <t>x</t>
        </is>
      </c>
      <c r="G223" s="55" t="n"/>
      <c r="H223" s="55" t="n"/>
      <c r="I223" s="56" t="n"/>
      <c r="J223" s="121" t="n"/>
      <c r="K223" s="121" t="n"/>
      <c r="L223" s="121" t="n"/>
      <c r="M223" s="121" t="n"/>
    </row>
    <row r="224" ht="18.75" customHeight="1" s="215">
      <c r="A224" s="152" t="n"/>
      <c r="B224" s="149" t="n">
        <v>207</v>
      </c>
      <c r="C224" s="223" t="inlineStr">
        <is>
          <t>NFF-207 – EMPLEADO (configuracion) - modo oscuro – Tarjetas de configuración (SMTP/IMAP): Fondo gris muy oscuro con borde fino color gris medio. Border-radius 12px. Espaciado interno (padding) amplio.</t>
        </is>
      </c>
      <c r="D224" s="218" t="n"/>
      <c r="E224" s="153" t="n"/>
      <c r="F224" s="55" t="inlineStr">
        <is>
          <t>x</t>
        </is>
      </c>
      <c r="G224" s="55" t="n"/>
      <c r="H224" s="55" t="n"/>
      <c r="I224" s="56" t="n"/>
      <c r="J224" s="121" t="n"/>
      <c r="K224" s="121" t="n"/>
      <c r="L224" s="121" t="n"/>
      <c r="M224" s="121" t="n"/>
    </row>
    <row r="225" ht="18.75" customHeight="1" s="215">
      <c r="A225" s="152" t="n"/>
      <c r="B225" s="149" t="n">
        <v>208</v>
      </c>
      <c r="C225" s="223" t="inlineStr">
        <is>
          <t>NFF-208 – EMPLEADO (configuracion) - modo oscuro – Títulos de sección: Texto en blanco con peso bold. Acompañados de iconos lineales (avión de papel para SMTP, sobre para IMAP).</t>
        </is>
      </c>
      <c r="D225" s="218" t="n"/>
      <c r="E225" s="153" t="n"/>
      <c r="F225" s="55" t="inlineStr">
        <is>
          <t>x</t>
        </is>
      </c>
      <c r="G225" s="55" t="n"/>
      <c r="H225" s="55" t="n"/>
      <c r="I225" s="56" t="n"/>
      <c r="J225" s="121" t="n"/>
      <c r="K225" s="121" t="n"/>
      <c r="L225" s="121" t="n"/>
      <c r="M225" s="121" t="n"/>
    </row>
    <row r="226" ht="18.75" customHeight="1" s="215">
      <c r="A226" s="152" t="n"/>
      <c r="B226" s="149" t="n">
        <v>209</v>
      </c>
      <c r="C226" s="223" t="inlineStr">
        <is>
          <t>NFF-209 – EMPLEADO (configuracion) - modo oscuro – Descripción de sección: Texto gris medio, tamaño pequeño, ubicado inmediatamente debajo del título.</t>
        </is>
      </c>
      <c r="D226" s="218" t="n"/>
      <c r="E226" s="153" t="n"/>
      <c r="F226" s="55" t="inlineStr">
        <is>
          <t>x</t>
        </is>
      </c>
      <c r="G226" s="55" t="n"/>
      <c r="H226" s="55" t="n"/>
      <c r="I226" s="56" t="n"/>
      <c r="J226" s="121" t="n"/>
      <c r="K226" s="121" t="n"/>
      <c r="L226" s="121" t="n"/>
      <c r="M226" s="121" t="n"/>
    </row>
    <row r="227" ht="18.75" customHeight="1" s="215">
      <c r="A227" s="152" t="n"/>
      <c r="B227" s="149" t="n">
        <v>210</v>
      </c>
      <c r="C227" s="223" t="inlineStr">
        <is>
          <t>NFF-210 – EMPLEADO (configuracion) - modo oscuro – Etiquetas (Labels): Texto gris claro, tamaño pequeño, peso regular.</t>
        </is>
      </c>
      <c r="D227" s="218" t="n"/>
      <c r="E227" s="153" t="n"/>
      <c r="F227" s="55" t="inlineStr">
        <is>
          <t>x</t>
        </is>
      </c>
      <c r="G227" s="55" t="n"/>
      <c r="H227" s="55" t="n"/>
      <c r="I227" s="56" t="n"/>
      <c r="J227" s="121" t="n"/>
      <c r="K227" s="121" t="n"/>
      <c r="L227" s="121" t="n"/>
      <c r="M227" s="121" t="n"/>
    </row>
    <row r="228" ht="18.75" customHeight="1" s="215">
      <c r="A228" s="152" t="n"/>
      <c r="B228" s="149" t="n">
        <v>211</v>
      </c>
      <c r="C228" s="223" t="inlineStr">
        <is>
          <t>NFF-211 – EMPLEADO (configuracion) - modo oscuro – Cajas de texto: Fondo negro sólido. Borde gris oscuro. Border-radius 8px. Altura aprox. 40px.</t>
        </is>
      </c>
      <c r="D228" s="218" t="n"/>
      <c r="E228" s="153" t="n"/>
      <c r="F228" s="55" t="inlineStr">
        <is>
          <t>x</t>
        </is>
      </c>
      <c r="G228" s="55" t="n"/>
      <c r="H228" s="55" t="n"/>
      <c r="I228" s="56" t="n"/>
      <c r="J228" s="121" t="n"/>
      <c r="K228" s="121" t="n"/>
      <c r="L228" s="121" t="n"/>
      <c r="M228" s="121" t="n"/>
    </row>
    <row r="229" ht="18.75" customHeight="1" s="215">
      <c r="A229" s="152" t="n"/>
      <c r="B229" s="149" t="n">
        <v>212</v>
      </c>
      <c r="C229" s="223" t="inlineStr">
        <is>
          <t>NFF-212 – EMPLEADO (configuracion) - modo oscuro – Texto ingresado: Color blanco/gris muy claro para alta legibilidad sobre fondo oscuro.</t>
        </is>
      </c>
      <c r="D229" s="218" t="n"/>
      <c r="E229" s="153" t="n"/>
      <c r="F229" s="55" t="inlineStr">
        <is>
          <t>x</t>
        </is>
      </c>
      <c r="G229" s="55" t="n"/>
      <c r="H229" s="55" t="n"/>
      <c r="I229" s="56" t="n"/>
      <c r="J229" s="121" t="n"/>
      <c r="K229" s="121" t="n"/>
      <c r="L229" s="121" t="n"/>
      <c r="M229" s="121" t="n"/>
    </row>
    <row r="230" ht="18.75" customHeight="1" s="215">
      <c r="A230" s="152" t="n"/>
      <c r="B230" s="149" t="n">
        <v>213</v>
      </c>
      <c r="C230" s="223" t="inlineStr">
        <is>
          <t>NFF-213 – EMPLEADO (configuracion) - modo oscuro – Distribución: Diseño de dos columnas para Host/Puerto y Usuario/Correo, con campo de contraseña de ancho completo.</t>
        </is>
      </c>
      <c r="D230" s="218" t="n"/>
      <c r="E230" s="153" t="n"/>
      <c r="F230" s="55" t="inlineStr">
        <is>
          <t>x</t>
        </is>
      </c>
      <c r="G230" s="55" t="n"/>
      <c r="H230" s="55" t="n"/>
      <c r="I230" s="56" t="n"/>
      <c r="J230" s="121" t="n"/>
      <c r="K230" s="121" t="n"/>
      <c r="L230" s="121" t="n"/>
      <c r="M230" s="121" t="n"/>
    </row>
    <row r="231" ht="18.75" customHeight="1" s="215">
      <c r="A231" s="152" t="n"/>
      <c r="B231" s="149" t="n">
        <v>214</v>
      </c>
      <c r="C231" s="223" t="inlineStr">
        <is>
          <t>NFF-214 – EMPLEADO (configuracion) - modo oscuro – Botón "Guardar SMTP": Fondo rojo intenso (#b91c1c). Texto blanco. Border-radius 8px. Peso bold.</t>
        </is>
      </c>
      <c r="D231" s="218" t="n"/>
      <c r="E231" s="153" t="n"/>
      <c r="F231" s="55" t="inlineStr">
        <is>
          <t>x</t>
        </is>
      </c>
      <c r="G231" s="55" t="n"/>
      <c r="H231" s="55" t="n"/>
      <c r="I231" s="56" t="n"/>
      <c r="J231" s="121" t="n"/>
      <c r="K231" s="121" t="n"/>
      <c r="L231" s="121" t="n"/>
      <c r="M231" s="121" t="n"/>
    </row>
    <row r="232" ht="18.75" customHeight="1" s="215">
      <c r="A232" s="152" t="n"/>
      <c r="B232" s="149" t="n">
        <v>215</v>
      </c>
      <c r="C232" s="223" t="inlineStr">
        <is>
          <t>NFF-215 – EMPLEADO (configuracion) - modo oscuro – Botón "Guardar IMAP": Fondo dorado/ocre suave (#d4af37 aprox.). Texto negro/oscuro. Border-radius 8px. Peso bold.</t>
        </is>
      </c>
      <c r="D232" s="218" t="n"/>
      <c r="E232" s="153" t="n"/>
      <c r="F232" s="55" t="inlineStr">
        <is>
          <t>x</t>
        </is>
      </c>
      <c r="G232" s="55" t="n"/>
      <c r="H232" s="55" t="n"/>
      <c r="I232" s="56" t="n"/>
      <c r="J232" s="121" t="n"/>
      <c r="K232" s="121" t="n"/>
      <c r="L232" s="121" t="n"/>
      <c r="M232" s="121" t="n"/>
    </row>
    <row r="233" ht="18.75" customHeight="1" s="215">
      <c r="A233" s="152" t="n"/>
      <c r="B233" s="149" t="n">
        <v>216</v>
      </c>
      <c r="C233" s="223" t="inlineStr">
        <is>
          <t>NFF-216 – EMPLEADO (configuracion) - modo oscuro – Efecto Hover (general): Oscurecimiento del color de fondo original en un 10-15%.</t>
        </is>
      </c>
      <c r="D233" s="218" t="n"/>
      <c r="E233" s="153" t="n"/>
      <c r="F233" s="55" t="inlineStr">
        <is>
          <t>x</t>
        </is>
      </c>
      <c r="G233" s="55" t="n"/>
      <c r="H233" s="55" t="n"/>
      <c r="I233" s="56" t="n"/>
      <c r="J233" s="121" t="n"/>
      <c r="K233" s="121" t="n"/>
      <c r="L233" s="121" t="n"/>
      <c r="M233" s="121" t="n"/>
    </row>
    <row r="234" ht="18.75" customHeight="1" s="215">
      <c r="A234" s="152" t="n"/>
      <c r="B234" s="149" t="n">
        <v>217</v>
      </c>
      <c r="C234" s="223" t="inlineStr">
        <is>
          <t>NFF-217 – EMPLEADO (configuracion) - modo oscuro – Ítem "Configuración": Fondo rojo oscuro (#7f1d1d). Texto blanco puro. Borde izquierdo rojo brillante. Border-radius 8px.</t>
        </is>
      </c>
      <c r="D234" s="218" t="n"/>
      <c r="E234" s="153" t="n"/>
      <c r="F234" s="55" t="inlineStr">
        <is>
          <t>x</t>
        </is>
      </c>
      <c r="G234" s="55" t="n"/>
      <c r="H234" s="55" t="n"/>
      <c r="I234" s="56" t="n"/>
      <c r="J234" s="121" t="n"/>
      <c r="K234" s="121" t="n"/>
      <c r="L234" s="121" t="n"/>
      <c r="M234" s="121" t="n"/>
    </row>
    <row r="235" ht="18.75" customHeight="1" s="215">
      <c r="A235" s="152" t="n"/>
      <c r="B235" s="149" t="n">
        <v>218</v>
      </c>
      <c r="C235" s="223" t="inlineStr">
        <is>
          <t>NFF-218 – ADMINISTRADOR (resumen) - modo claro – Fondo general del sitio: Color crema muy claro o blanco roto (#f4f4f5 aprox.).</t>
        </is>
      </c>
      <c r="D235" s="218" t="n"/>
      <c r="E235" s="153" t="n"/>
      <c r="F235" s="55" t="inlineStr">
        <is>
          <t>x</t>
        </is>
      </c>
      <c r="G235" s="55" t="n"/>
      <c r="H235" s="55" t="n"/>
      <c r="I235" s="56" t="n"/>
      <c r="J235" s="121" t="n"/>
      <c r="K235" s="121" t="n"/>
      <c r="L235" s="121" t="n"/>
      <c r="M235" s="121" t="n"/>
    </row>
    <row r="236" ht="18.75" customHeight="1" s="215">
      <c r="A236" s="152" t="n"/>
      <c r="B236" s="149" t="n">
        <v>219</v>
      </c>
      <c r="C236" s="223" t="inlineStr">
        <is>
          <t>NFF-219 – ADMINISTRADOR (resumen) - modo claro – Barra lateral (Sidebar): Fondo blanco puro. Borde derecho sutil en gris muy claro.</t>
        </is>
      </c>
      <c r="D236" s="218" t="n"/>
      <c r="E236" s="153" t="n"/>
      <c r="F236" s="55" t="inlineStr">
        <is>
          <t>x</t>
        </is>
      </c>
      <c r="G236" s="55" t="n"/>
      <c r="H236" s="55" t="n"/>
      <c r="I236" s="56" t="n"/>
      <c r="J236" s="121" t="n"/>
      <c r="K236" s="121" t="n"/>
      <c r="L236" s="121" t="n"/>
      <c r="M236" s="121" t="n"/>
    </row>
    <row r="237" ht="18.75" customHeight="1" s="215">
      <c r="A237" s="152" t="n"/>
      <c r="B237" s="149" t="n">
        <v>220</v>
      </c>
      <c r="C237" s="223" t="inlineStr">
        <is>
          <t>NFF-220 – ADMINISTRADOR (resumen) - modo claro – Logo "Reservify": Icono naranja redondeado con letra blanca. Texto "Reservify" en negrita, color gris oscuro (#1f2937).</t>
        </is>
      </c>
      <c r="D237" s="218" t="n"/>
      <c r="E237" s="153" t="n"/>
      <c r="F237" s="55" t="inlineStr">
        <is>
          <t>x</t>
        </is>
      </c>
      <c r="G237" s="55" t="n"/>
      <c r="H237" s="55" t="n"/>
      <c r="I237" s="56" t="n"/>
      <c r="J237" s="121" t="n"/>
      <c r="K237" s="121" t="n"/>
      <c r="L237" s="121" t="n"/>
      <c r="M237" s="121" t="n"/>
    </row>
    <row r="238" ht="18.75" customHeight="1" s="215">
      <c r="A238" s="152" t="n"/>
      <c r="B238" s="149" t="n">
        <v>221</v>
      </c>
      <c r="C238" s="223" t="inlineStr">
        <is>
          <t>NFF-221 – ADMINISTRADOR (resumen) - modo claro – Ítem de menú activo (Resumen): Fondo naranja vibrante (#f97316). Texto blanco. Border-radius 8px.</t>
        </is>
      </c>
      <c r="D238" s="218" t="n"/>
      <c r="E238" s="153" t="n"/>
      <c r="F238" s="55" t="inlineStr">
        <is>
          <t>x</t>
        </is>
      </c>
      <c r="G238" s="55" t="n"/>
      <c r="H238" s="55" t="n"/>
      <c r="I238" s="56" t="n"/>
      <c r="J238" s="121" t="n"/>
      <c r="K238" s="121" t="n"/>
      <c r="L238" s="121" t="n"/>
      <c r="M238" s="121" t="n"/>
    </row>
    <row r="239" ht="18.75" customHeight="1" s="215">
      <c r="A239" s="152" t="n"/>
      <c r="B239" s="149" t="n">
        <v>222</v>
      </c>
      <c r="C239" s="223" t="inlineStr">
        <is>
          <t>NFF-222 – ADMINISTRADOR (resumen) - modo claro – Ítems de menú inactivos: Texto gris medio (#6b7280). Iconos lineales en gris. Hover: fondo gris muy suave.</t>
        </is>
      </c>
      <c r="D239" s="218" t="n"/>
      <c r="E239" s="153" t="n"/>
      <c r="F239" s="55" t="inlineStr">
        <is>
          <t>x</t>
        </is>
      </c>
      <c r="G239" s="55" t="n"/>
      <c r="H239" s="55" t="n"/>
      <c r="I239" s="56" t="n"/>
      <c r="J239" s="121" t="n"/>
      <c r="K239" s="121" t="n"/>
      <c r="L239" s="121" t="n"/>
      <c r="M239" s="121" t="n"/>
    </row>
    <row r="240" ht="18.75" customHeight="1" s="215">
      <c r="A240" s="152" t="n"/>
      <c r="B240" s="149" t="n">
        <v>223</v>
      </c>
      <c r="C240" s="223" t="inlineStr">
        <is>
          <t>NFF-223 – ADMINISTRADOR (resumen) - modo claro – Perfil de usuario (inferior): Contenedor con fondo gris muy tenue. Avatar circular naranja con inicial blanca.</t>
        </is>
      </c>
      <c r="D240" s="218" t="n"/>
      <c r="E240" s="153" t="n"/>
      <c r="F240" s="55" t="inlineStr">
        <is>
          <t>x</t>
        </is>
      </c>
      <c r="G240" s="55" t="n"/>
      <c r="H240" s="55" t="n"/>
      <c r="I240" s="56" t="n"/>
      <c r="J240" s="121" t="n"/>
      <c r="K240" s="121" t="n"/>
      <c r="L240" s="121" t="n"/>
      <c r="M240" s="121" t="n"/>
    </row>
    <row r="241" ht="18.75" customHeight="1" s="215">
      <c r="A241" s="152" t="n"/>
      <c r="B241" s="149" t="n">
        <v>224</v>
      </c>
      <c r="C241" s="223" t="inlineStr">
        <is>
          <t>NFF-224 – ADMINISTRADOR (resumen) - modo claro – Encabezado principal: Texto "Buenas tardes" en azul oscuro/gris profundo. Fuente sans-serif, peso bold.</t>
        </is>
      </c>
      <c r="D241" s="218" t="n"/>
      <c r="E241" s="153" t="n"/>
      <c r="F241" s="55" t="inlineStr">
        <is>
          <t>x</t>
        </is>
      </c>
      <c r="G241" s="55" t="n"/>
      <c r="H241" s="55" t="n"/>
      <c r="I241" s="56" t="n"/>
      <c r="J241" s="121" t="n"/>
      <c r="K241" s="121" t="n"/>
      <c r="L241" s="121" t="n"/>
      <c r="M241" s="121" t="n"/>
    </row>
    <row r="242" ht="18.75" customHeight="1" s="215">
      <c r="A242" s="152" t="n"/>
      <c r="B242" s="149" t="n">
        <v>225</v>
      </c>
      <c r="C242" s="223" t="inlineStr">
        <is>
          <t>NFF-225 – ADMINISTRADOR (resumen) - modo claro – Subtítulo descriptivo: Texto gris medio. Tamaño de fuente reducido (aprox. 14px).</t>
        </is>
      </c>
      <c r="D242" s="218" t="n"/>
      <c r="E242" s="153" t="n"/>
      <c r="F242" s="55" t="inlineStr">
        <is>
          <t>x</t>
        </is>
      </c>
      <c r="G242" s="55" t="n"/>
      <c r="H242" s="55" t="n"/>
      <c r="I242" s="56" t="n"/>
      <c r="J242" s="121" t="n"/>
      <c r="K242" s="121" t="n"/>
      <c r="L242" s="121" t="n"/>
      <c r="M242" s="121" t="n"/>
    </row>
    <row r="243" ht="18.75" customHeight="1" s="215">
      <c r="A243" s="152" t="n"/>
      <c r="B243" s="149" t="n">
        <v>226</v>
      </c>
      <c r="C243" s="223" t="inlineStr">
        <is>
          <t>NFF-226 – ADMINISTRADOR (resumen) - modo claro – Indicador de sección (Resumen): Texto gris oscuro sobre el título principal, tamaño pequeño.</t>
        </is>
      </c>
      <c r="D243" s="218" t="n"/>
      <c r="E243" s="153" t="n"/>
      <c r="F243" s="55" t="inlineStr">
        <is>
          <t>x</t>
        </is>
      </c>
      <c r="G243" s="55" t="n"/>
      <c r="H243" s="55" t="n"/>
      <c r="I243" s="56" t="n"/>
      <c r="J243" s="121" t="n"/>
      <c r="K243" s="121" t="n"/>
      <c r="L243" s="121" t="n"/>
      <c r="M243" s="121" t="n"/>
    </row>
    <row r="244" ht="18.75" customHeight="1" s="215">
      <c r="A244" s="152" t="n"/>
      <c r="B244" s="149" t="n">
        <v>227</v>
      </c>
      <c r="C244" s="223" t="inlineStr">
        <is>
          <t>NFF-227 – ADMINISTRADOR (resumen) - modo claro – Contenedor de tarjeta: Fondo blanco puro. Border-radius 12px. Sombra (box-shadow) muy tenue.</t>
        </is>
      </c>
      <c r="D244" s="218" t="n"/>
      <c r="E244" s="153" t="n"/>
      <c r="F244" s="55" t="inlineStr">
        <is>
          <t>x</t>
        </is>
      </c>
      <c r="G244" s="55" t="n"/>
      <c r="H244" s="55" t="n"/>
      <c r="I244" s="56" t="n"/>
      <c r="J244" s="121" t="n"/>
      <c r="K244" s="121" t="n"/>
      <c r="L244" s="121" t="n"/>
      <c r="M244" s="121" t="n"/>
    </row>
    <row r="245" ht="18.75" customHeight="1" s="215">
      <c r="A245" s="152" t="n"/>
      <c r="B245" s="149" t="n">
        <v>228</v>
      </c>
      <c r="C245" s="223" t="inlineStr">
        <is>
          <t>NFF-228 – ADMINISTRADOR (resumen) - modo claro – Títulos de tarjetas: Texto gris oscuro, alineado a la izquierda.</t>
        </is>
      </c>
      <c r="D245" s="218" t="n"/>
      <c r="E245" s="153" t="n"/>
      <c r="F245" s="55" t="inlineStr">
        <is>
          <t>x</t>
        </is>
      </c>
      <c r="G245" s="55" t="n"/>
      <c r="H245" s="55" t="n"/>
      <c r="I245" s="56" t="n"/>
      <c r="J245" s="121" t="n"/>
      <c r="K245" s="121" t="n"/>
      <c r="L245" s="121" t="n"/>
      <c r="M245" s="121" t="n"/>
    </row>
    <row r="246" ht="18.75" customHeight="1" s="215">
      <c r="A246" s="152" t="n"/>
      <c r="B246" s="149" t="n">
        <v>229</v>
      </c>
      <c r="C246" s="223" t="inlineStr">
        <is>
          <t>NFF-229 – ADMINISTRADOR (resumen) - modo claro – Valores numéricos: Texto negro/gris muy oscuro, tamaño grande (aprox. 24px-28px), peso bold.</t>
        </is>
      </c>
      <c r="D246" s="218" t="n"/>
      <c r="E246" s="153" t="n"/>
      <c r="F246" s="55" t="inlineStr">
        <is>
          <t>x</t>
        </is>
      </c>
      <c r="G246" s="55" t="n"/>
      <c r="H246" s="55" t="n"/>
      <c r="I246" s="56" t="n"/>
      <c r="J246" s="121" t="n"/>
      <c r="K246" s="121" t="n"/>
      <c r="L246" s="121" t="n"/>
      <c r="M246" s="121" t="n"/>
    </row>
    <row r="247" ht="18.75" customHeight="1" s="215">
      <c r="A247" s="152" t="n"/>
      <c r="B247" s="149" t="n">
        <v>230</v>
      </c>
      <c r="C247" s="223" t="inlineStr">
        <is>
          <t>NFF-230 – ADMINISTRADOR (resumen) - modo claro – Iconos de tarjetas: Ubicados en la esquina superior derecha. Contenedores cuadrados con bordes redondeados en colores pastel (azul, verde, morado) con iconos en colores sólidos.</t>
        </is>
      </c>
      <c r="D247" s="218" t="n"/>
      <c r="E247" s="153" t="n"/>
      <c r="F247" s="55" t="inlineStr">
        <is>
          <t>x</t>
        </is>
      </c>
      <c r="G247" s="55" t="n"/>
      <c r="H247" s="55" t="n"/>
      <c r="I247" s="56" t="n"/>
      <c r="J247" s="121" t="n"/>
      <c r="K247" s="121" t="n"/>
      <c r="L247" s="121" t="n"/>
      <c r="M247" s="121" t="n"/>
    </row>
    <row r="248" ht="18.75" customHeight="1" s="215">
      <c r="A248" s="152" t="n"/>
      <c r="B248" s="149" t="n">
        <v>231</v>
      </c>
      <c r="C248" s="223" t="inlineStr">
        <is>
          <t>NFF-231 – ADMINISTRADOR (resumen) - modo claro – Tarjeta de "Flujo de visitantes": Fondo blanco. Título en gris oscuro. Subtítulo en gris claro.</t>
        </is>
      </c>
      <c r="D248" s="218" t="n"/>
      <c r="E248" s="153" t="n"/>
      <c r="F248" s="55" t="inlineStr">
        <is>
          <t>x</t>
        </is>
      </c>
      <c r="G248" s="55" t="n"/>
      <c r="H248" s="55" t="n"/>
      <c r="I248" s="56" t="n"/>
      <c r="J248" s="121" t="n"/>
      <c r="K248" s="121" t="n"/>
      <c r="L248" s="121" t="n"/>
      <c r="M248" s="121" t="n"/>
    </row>
    <row r="249" ht="18.75" customHeight="1" s="215">
      <c r="A249" s="152" t="n"/>
      <c r="B249" s="149" t="n">
        <v>232</v>
      </c>
      <c r="C249" s="223" t="inlineStr">
        <is>
          <t>NFF-232 – ADMINISTRADOR (resumen) - modo claro – Barras de progreso: Color naranja sólido (#f97316) con fondo de barra en gris muy claro. Bordes redondeados.</t>
        </is>
      </c>
      <c r="D249" s="218" t="n"/>
      <c r="E249" s="153" t="n"/>
      <c r="F249" s="55" t="inlineStr">
        <is>
          <t>x</t>
        </is>
      </c>
      <c r="G249" s="55" t="n"/>
      <c r="H249" s="55" t="n"/>
      <c r="I249" s="56" t="n"/>
      <c r="J249" s="121" t="n"/>
      <c r="K249" s="121" t="n"/>
      <c r="L249" s="121" t="n"/>
      <c r="M249" s="121" t="n"/>
    </row>
    <row r="250" ht="18.75" customHeight="1" s="215">
      <c r="A250" s="152" t="n"/>
      <c r="B250" s="149" t="n">
        <v>233</v>
      </c>
      <c r="C250" s="223" t="inlineStr">
        <is>
          <t>NFF-233 – ADMINISTRADOR (resumen) - modo claro – Botón de acción principal (Ver reservas de hoy): Fondo naranja sólido. Texto blanco. Border-radius 8px.</t>
        </is>
      </c>
      <c r="D250" s="218" t="n"/>
      <c r="E250" s="153" t="n"/>
      <c r="F250" s="55" t="inlineStr">
        <is>
          <t>x</t>
        </is>
      </c>
      <c r="G250" s="55" t="n"/>
      <c r="H250" s="55" t="n"/>
      <c r="I250" s="56" t="n"/>
      <c r="J250" s="121" t="n"/>
      <c r="K250" s="121" t="n"/>
      <c r="L250" s="121" t="n"/>
      <c r="M250" s="121" t="n"/>
    </row>
    <row r="251" ht="18.75" customHeight="1" s="215">
      <c r="A251" s="152" t="n"/>
      <c r="B251" s="149" t="n">
        <v>234</v>
      </c>
      <c r="C251" s="223" t="inlineStr">
        <is>
          <t>NFF-234 – ADMINISTRADOR (resumen) - modo claro – Botones secundarios (Exportar informe): Fondo gris muy claro. Texto gris oscuro. Border-radius 8px.</t>
        </is>
      </c>
      <c r="D251" s="218" t="n"/>
      <c r="E251" s="153" t="n"/>
      <c r="F251" s="55" t="inlineStr">
        <is>
          <t>x</t>
        </is>
      </c>
      <c r="G251" s="55" t="n"/>
      <c r="H251" s="55" t="n"/>
      <c r="I251" s="56" t="n"/>
      <c r="J251" s="121" t="n"/>
      <c r="K251" s="121" t="n"/>
      <c r="L251" s="121" t="n"/>
      <c r="M251" s="121" t="n"/>
    </row>
    <row r="252" ht="18.75" customHeight="1" s="215">
      <c r="A252" s="152" t="n"/>
      <c r="B252" s="149" t="n">
        <v>235</v>
      </c>
      <c r="C252" s="223" t="inlineStr">
        <is>
          <t>NFF-235 – ADMINISTRADOR (mi restaurante) - modo claro – Breadcrumb (Mi Restaurante): Texto en gris oscuro ubicado sobre el título principal, fuente de tamaño reducido.</t>
        </is>
      </c>
      <c r="D252" s="218" t="n"/>
      <c r="E252" s="153" t="n"/>
      <c r="F252" s="55" t="inlineStr">
        <is>
          <t>x</t>
        </is>
      </c>
      <c r="G252" s="55" t="n"/>
      <c r="H252" s="55" t="n"/>
      <c r="I252" s="56" t="n"/>
      <c r="J252" s="121" t="n"/>
      <c r="K252" s="121" t="n"/>
      <c r="L252" s="121" t="n"/>
      <c r="M252" s="121" t="n"/>
    </row>
    <row r="253" ht="18.75" customHeight="1" s="215">
      <c r="A253" s="152" t="n"/>
      <c r="B253" s="149" t="n">
        <v>236</v>
      </c>
      <c r="C253" s="223" t="inlineStr">
        <is>
          <t>NFF-236 – ADMINISTRADOR (mi restaurante) - modo claro – Título principal: "Buenas tardes" en azul oscuro casi negro, peso bold, fuente sans-serif.</t>
        </is>
      </c>
      <c r="D253" s="218" t="n"/>
      <c r="E253" s="153" t="n"/>
      <c r="F253" s="55" t="inlineStr">
        <is>
          <t>x</t>
        </is>
      </c>
      <c r="G253" s="55" t="n"/>
      <c r="H253" s="55" t="n"/>
      <c r="I253" s="56" t="n"/>
      <c r="J253" s="121" t="n"/>
      <c r="K253" s="121" t="n"/>
      <c r="L253" s="121" t="n"/>
      <c r="M253" s="121" t="n"/>
    </row>
    <row r="254" ht="18.75" customHeight="1" s="215">
      <c r="A254" s="152" t="n"/>
      <c r="B254" s="149" t="n">
        <v>237</v>
      </c>
      <c r="C254" s="223" t="inlineStr">
        <is>
          <t>NFF-237 – ADMINISTRADOR (mi restaurante) - modo claro – Descripción de sección: Texto gris medio ("Administras un solo restaurante") alineado a la izquierda.</t>
        </is>
      </c>
      <c r="D254" s="218" t="n"/>
      <c r="E254" s="153" t="n"/>
      <c r="F254" s="55" t="inlineStr">
        <is>
          <t>x</t>
        </is>
      </c>
      <c r="G254" s="55" t="n"/>
      <c r="H254" s="55" t="n"/>
      <c r="I254" s="56" t="n"/>
      <c r="J254" s="121" t="n"/>
      <c r="K254" s="121" t="n"/>
      <c r="L254" s="121" t="n"/>
      <c r="M254" s="121" t="n"/>
    </row>
    <row r="255" ht="18.75" customHeight="1" s="215">
      <c r="A255" s="152" t="n"/>
      <c r="B255" s="149" t="n">
        <v>238</v>
      </c>
      <c r="C255" s="223" t="inlineStr">
        <is>
          <t>NFF-238 – ADMINISTRADOR (mi restaurante) - modo claro – Ítem de menú activo (Mi Restaurante): Fondo naranja vibrante (#f97316), texto blanco puro, border-radius 8px.</t>
        </is>
      </c>
      <c r="D255" s="218" t="n"/>
      <c r="E255" s="153" t="n"/>
      <c r="F255" s="55" t="inlineStr">
        <is>
          <t>x</t>
        </is>
      </c>
      <c r="G255" s="55" t="n"/>
      <c r="H255" s="55" t="n"/>
      <c r="I255" s="56" t="n"/>
      <c r="J255" s="121" t="n"/>
      <c r="K255" s="121" t="n"/>
      <c r="L255" s="121" t="n"/>
      <c r="M255" s="121" t="n"/>
    </row>
    <row r="256" ht="18.75" customHeight="1" s="215">
      <c r="A256" s="152" t="n"/>
      <c r="B256" s="149" t="n">
        <v>239</v>
      </c>
      <c r="C256" s="223" t="inlineStr">
        <is>
          <t>NFF-239 – ADMINISTRADOR (mi restaurante) - modo claro – Contenedor de tarjeta: Fondo blanco puro, borde gris muy claro y sutil, border-radius 12px.</t>
        </is>
      </c>
      <c r="D256" s="218" t="n"/>
      <c r="E256" s="153" t="n"/>
      <c r="F256" s="55" t="inlineStr">
        <is>
          <t>x</t>
        </is>
      </c>
      <c r="G256" s="55" t="n"/>
      <c r="H256" s="55" t="n"/>
      <c r="I256" s="56" t="n"/>
      <c r="J256" s="121" t="n"/>
      <c r="K256" s="121" t="n"/>
      <c r="L256" s="121" t="n"/>
      <c r="M256" s="121" t="n"/>
    </row>
    <row r="257" ht="18.75" customHeight="1" s="215">
      <c r="A257" s="152" t="n"/>
      <c r="B257" s="149" t="n">
        <v>240</v>
      </c>
      <c r="C257" s="223" t="inlineStr">
        <is>
          <t>NFF-240 – ADMINISTRADOR (mi restaurante) - modo claro – Sombra de la tarjeta: Box-shadow suave que le da profundidad sobre el fondo crema.</t>
        </is>
      </c>
      <c r="D257" s="218" t="n"/>
      <c r="E257" s="153" t="n"/>
      <c r="F257" s="55" t="inlineStr">
        <is>
          <t>x</t>
        </is>
      </c>
      <c r="G257" s="55" t="n"/>
      <c r="H257" s="55" t="n"/>
      <c r="I257" s="56" t="n"/>
      <c r="J257" s="121" t="n"/>
      <c r="K257" s="121" t="n"/>
      <c r="L257" s="121" t="n"/>
      <c r="M257" s="121" t="n"/>
    </row>
    <row r="258" ht="18.75" customHeight="1" s="215">
      <c r="A258" s="152" t="n"/>
      <c r="B258" s="149" t="n">
        <v>241</v>
      </c>
      <c r="C258" s="223" t="inlineStr">
        <is>
          <t>NFF-241 – ADMINISTRADOR (mi restaurante) - modo claro – Nombre del restaurante: Texto "restaurante de prueba" en negro/gris profundo, peso semi-bold.</t>
        </is>
      </c>
      <c r="D258" s="218" t="n"/>
      <c r="E258" s="153" t="n"/>
      <c r="F258" s="55" t="inlineStr">
        <is>
          <t>x</t>
        </is>
      </c>
      <c r="G258" s="55" t="n"/>
      <c r="H258" s="55" t="n"/>
      <c r="I258" s="56" t="n"/>
      <c r="J258" s="121" t="n"/>
      <c r="K258" s="121" t="n"/>
      <c r="L258" s="121" t="n"/>
      <c r="M258" s="121" t="n"/>
    </row>
    <row r="259" ht="18.75" customHeight="1" s="215">
      <c r="A259" s="152" t="n"/>
      <c r="B259" s="149" t="n">
        <v>242</v>
      </c>
      <c r="C259" s="223" t="inlineStr">
        <is>
          <t>NFF-242 – ADMINISTRADOR (mi restaurante) - modo claro – Identificación (NIT): Texto gris oscuro precedido por el prefijo "NIT:".</t>
        </is>
      </c>
      <c r="D259" s="218" t="n"/>
      <c r="E259" s="153" t="n"/>
      <c r="F259" s="55" t="inlineStr">
        <is>
          <t>x</t>
        </is>
      </c>
      <c r="G259" s="55" t="n"/>
      <c r="H259" s="55" t="n"/>
      <c r="I259" s="56" t="n"/>
      <c r="J259" s="121" t="n"/>
      <c r="K259" s="121" t="n"/>
      <c r="L259" s="121" t="n"/>
      <c r="M259" s="121" t="n"/>
    </row>
    <row r="260" ht="18.75" customHeight="1" s="215">
      <c r="A260" s="152" t="n"/>
      <c r="B260" s="149" t="n">
        <v>243</v>
      </c>
      <c r="C260" s="223" t="inlineStr">
        <is>
          <t>NFF-243 – ADMINISTRADOR (mi restaurante) - modo claro – Botón "Configurar restaurante": Fondo gris muy claro/blanco, borde gris fino, texto gris oscuro, border-radius 8px.</t>
        </is>
      </c>
      <c r="D260" s="218" t="n"/>
      <c r="E260" s="153" t="n"/>
      <c r="F260" s="55" t="inlineStr">
        <is>
          <t>x</t>
        </is>
      </c>
      <c r="G260" s="55" t="n"/>
      <c r="H260" s="55" t="n"/>
      <c r="I260" s="56" t="n"/>
      <c r="J260" s="121" t="n"/>
      <c r="K260" s="121" t="n"/>
      <c r="L260" s="121" t="n"/>
      <c r="M260" s="121" t="n"/>
    </row>
    <row r="261" ht="18.75" customHeight="1" s="215">
      <c r="A261" s="152" t="n"/>
      <c r="B261" s="149" t="n">
        <v>244</v>
      </c>
      <c r="C261" s="223" t="inlineStr">
        <is>
          <t>NFF-244 – ADMINISTRADOR (mi restaurante) - modo claro – Fondo de Sidebar: Blanco sólido con borde divisorio derecho en gris claro.</t>
        </is>
      </c>
      <c r="D261" s="218" t="n"/>
      <c r="E261" s="153" t="n"/>
      <c r="F261" s="55" t="inlineStr">
        <is>
          <t>x</t>
        </is>
      </c>
      <c r="G261" s="55" t="n"/>
      <c r="H261" s="55" t="n"/>
      <c r="I261" s="56" t="n"/>
      <c r="J261" s="121" t="n"/>
      <c r="K261" s="121" t="n"/>
      <c r="L261" s="121" t="n"/>
      <c r="M261" s="121" t="n"/>
    </row>
    <row r="262" ht="18.75" customHeight="1" s="215">
      <c r="A262" s="152" t="n"/>
      <c r="B262" s="149" t="n">
        <v>245</v>
      </c>
      <c r="C262" s="223" t="inlineStr">
        <is>
          <t>NFF-245 – ADMINISTRADOR (mi restaurante) - modo claro – Sección de usuario: Fondo gris muy tenue con avatar circular naranja e inicial "A" en blanco.</t>
        </is>
      </c>
      <c r="D262" s="218" t="n"/>
      <c r="E262" s="153" t="n"/>
      <c r="F262" s="55" t="inlineStr">
        <is>
          <t>x</t>
        </is>
      </c>
      <c r="G262" s="55" t="n"/>
      <c r="H262" s="55" t="n"/>
      <c r="I262" s="56" t="n"/>
      <c r="J262" s="121" t="n"/>
      <c r="K262" s="121" t="n"/>
      <c r="L262" s="121" t="n"/>
      <c r="M262" s="121" t="n"/>
    </row>
    <row r="263" ht="18.75" customHeight="1" s="215">
      <c r="A263" s="152" t="n"/>
      <c r="B263" s="149" t="n">
        <v>246</v>
      </c>
      <c r="C263" s="223" t="inlineStr">
        <is>
          <t>NFF-246 – ADMINISTRADOR (mi restaurante) - modo claro – Botón "Cerrar sesión": Texto gris medio al final de la barra lateral con icono lineal de salida.</t>
        </is>
      </c>
      <c r="D263" s="218" t="n"/>
      <c r="E263" s="153" t="n"/>
      <c r="F263" s="55" t="inlineStr">
        <is>
          <t>x</t>
        </is>
      </c>
      <c r="G263" s="55" t="n"/>
      <c r="H263" s="55" t="n"/>
      <c r="I263" s="56" t="n"/>
      <c r="J263" s="121" t="n"/>
      <c r="K263" s="121" t="n"/>
      <c r="L263" s="121" t="n"/>
      <c r="M263" s="121" t="n"/>
    </row>
    <row r="264" ht="18.75" customHeight="1" s="215">
      <c r="A264" s="152" t="n"/>
      <c r="B264" s="149" t="n">
        <v>247</v>
      </c>
      <c r="C264" s="223" t="inlineStr">
        <is>
          <t>NFF-247 – ADMINISTRADOR (factutas) - modo claro – Fondo de Sidebar: Blanco sólido con un borde derecho gris muy tenue.</t>
        </is>
      </c>
      <c r="D264" s="218" t="n"/>
      <c r="E264" s="153" t="n"/>
      <c r="F264" s="55" t="inlineStr">
        <is>
          <t>x</t>
        </is>
      </c>
      <c r="G264" s="55" t="n"/>
      <c r="H264" s="55" t="n"/>
      <c r="I264" s="56" t="n"/>
      <c r="J264" s="121" t="n"/>
      <c r="K264" s="121" t="n"/>
      <c r="L264" s="121" t="n"/>
      <c r="M264" s="121" t="n"/>
    </row>
    <row r="265" ht="18.75" customHeight="1" s="215">
      <c r="A265" s="152" t="n"/>
      <c r="B265" s="149" t="n">
        <v>248</v>
      </c>
      <c r="C265" s="223" t="inlineStr">
        <is>
          <t>NFF-248 – ADMINISTRADOR (factutas) - modo claro – Ítem activo (Facturas): Fondo naranja sólido (#f97316). Texto blanco. Icono de documento lineal. Border-radius 8px.</t>
        </is>
      </c>
      <c r="D265" s="218" t="n"/>
      <c r="E265" s="153" t="n"/>
      <c r="F265" s="55" t="inlineStr">
        <is>
          <t>x</t>
        </is>
      </c>
      <c r="G265" s="55" t="n"/>
      <c r="H265" s="55" t="n"/>
      <c r="I265" s="56" t="n"/>
      <c r="J265" s="121" t="n"/>
      <c r="K265" s="121" t="n"/>
      <c r="L265" s="121" t="n"/>
      <c r="M265" s="121" t="n"/>
    </row>
    <row r="266" ht="18.75" customHeight="1" s="215">
      <c r="A266" s="152" t="n"/>
      <c r="B266" s="149" t="n">
        <v>249</v>
      </c>
      <c r="C266" s="223" t="inlineStr">
        <is>
          <t>NFF-249 – ADMINISTRADOR (factutas) - modo claro – Ítems inactivos: Texto gris medio. Iconos lineales sencillos.</t>
        </is>
      </c>
      <c r="D266" s="218" t="n"/>
      <c r="E266" s="153" t="n"/>
      <c r="F266" s="55" t="inlineStr">
        <is>
          <t>x</t>
        </is>
      </c>
      <c r="G266" s="55" t="n"/>
      <c r="H266" s="55" t="n"/>
      <c r="I266" s="56" t="n"/>
      <c r="J266" s="121" t="n"/>
      <c r="K266" s="121" t="n"/>
      <c r="L266" s="121" t="n"/>
      <c r="M266" s="121" t="n"/>
    </row>
    <row r="267" ht="18.75" customHeight="1" s="215">
      <c r="A267" s="152" t="n"/>
      <c r="B267" s="149" t="n">
        <v>250</v>
      </c>
      <c r="C267" s="223" t="inlineStr">
        <is>
          <t>NFF-250 – ADMINISTRADOR (factutas) - modo claro – Sección de usuario (inferior): Bloque con fondo gris muy suave (#f3f4f6 aprox.). Avatar naranja con inicial blanca. Nombre en gris oscuro y correo en gris medio.</t>
        </is>
      </c>
      <c r="D267" s="218" t="n"/>
      <c r="E267" s="153" t="n"/>
      <c r="F267" s="55" t="inlineStr">
        <is>
          <t>x</t>
        </is>
      </c>
      <c r="G267" s="55" t="n"/>
      <c r="H267" s="55" t="n"/>
      <c r="I267" s="56" t="n"/>
      <c r="J267" s="121" t="n"/>
      <c r="K267" s="121" t="n"/>
      <c r="L267" s="121" t="n"/>
      <c r="M267" s="121" t="n"/>
    </row>
    <row r="268" ht="18.75" customHeight="1" s="215">
      <c r="A268" s="152" t="n"/>
      <c r="B268" s="149" t="n">
        <v>251</v>
      </c>
      <c r="C268" s="223" t="inlineStr">
        <is>
          <t>NFF-251 – ADMINISTRADOR (factutas) - modo claro – Indicador de sección: Texto "Facturación" en gris oscuro sobre el título principal.</t>
        </is>
      </c>
      <c r="D268" s="218" t="n"/>
      <c r="E268" s="153" t="n"/>
      <c r="F268" s="55" t="inlineStr">
        <is>
          <t>x</t>
        </is>
      </c>
      <c r="G268" s="55" t="n"/>
      <c r="H268" s="55" t="n"/>
      <c r="I268" s="56" t="n"/>
      <c r="J268" s="121" t="n"/>
      <c r="K268" s="121" t="n"/>
      <c r="L268" s="121" t="n"/>
      <c r="M268" s="121" t="n"/>
    </row>
    <row r="269" ht="18.75" customHeight="1" s="215">
      <c r="A269" s="152" t="n"/>
      <c r="B269" s="149" t="n">
        <v>252</v>
      </c>
      <c r="C269" s="223" t="inlineStr">
        <is>
          <t>NFF-252 – ADMINISTRADOR (factutas) - modo claro – Título principal: "Buenas tardes" en azul oscuro profundo (#1e293b). Peso bold. Fuente sans-serif.</t>
        </is>
      </c>
      <c r="D269" s="218" t="n"/>
      <c r="E269" s="153" t="n"/>
      <c r="F269" s="55" t="inlineStr">
        <is>
          <t>x</t>
        </is>
      </c>
      <c r="G269" s="55" t="n"/>
      <c r="H269" s="55" t="n"/>
      <c r="I269" s="56" t="n"/>
      <c r="J269" s="121" t="n"/>
      <c r="K269" s="121" t="n"/>
      <c r="L269" s="121" t="n"/>
      <c r="M269" s="121" t="n"/>
    </row>
    <row r="270" ht="18.75" customHeight="1" s="215">
      <c r="A270" s="152" t="n"/>
      <c r="B270" s="149" t="n">
        <v>253</v>
      </c>
      <c r="C270" s="223" t="inlineStr">
        <is>
          <t>NFF-253 – ADMINISTRADOR (factutas) - modo claro – Texto descriptivo: "Gestiona tu restaurante..." en gris medio, alineado a la izquierda.</t>
        </is>
      </c>
      <c r="D270" s="218" t="n"/>
      <c r="E270" s="153" t="n"/>
      <c r="F270" s="55" t="inlineStr">
        <is>
          <t>x</t>
        </is>
      </c>
      <c r="G270" s="55" t="n"/>
      <c r="H270" s="55" t="n"/>
      <c r="I270" s="56" t="n"/>
      <c r="J270" s="121" t="n"/>
      <c r="K270" s="121" t="n"/>
      <c r="L270" s="121" t="n"/>
      <c r="M270" s="121" t="n"/>
    </row>
    <row r="271" ht="18.75" customHeight="1" s="215">
      <c r="A271" s="152" t="n"/>
      <c r="B271" s="149" t="n">
        <v>254</v>
      </c>
      <c r="C271" s="223" t="inlineStr">
        <is>
          <t>NFF-254 – ADMINISTRADOR (factutas) - modo claro – Contador de elementos: Texto "0 facturas" en gris, tamaño de fuente pequeño, ubicado sobre la tarjeta principal.</t>
        </is>
      </c>
      <c r="D271" s="218" t="n"/>
      <c r="E271" s="153" t="n"/>
      <c r="F271" s="55" t="inlineStr">
        <is>
          <t>x</t>
        </is>
      </c>
      <c r="G271" s="55" t="n"/>
      <c r="H271" s="55" t="n"/>
      <c r="I271" s="56" t="n"/>
      <c r="J271" s="121" t="n"/>
      <c r="K271" s="121" t="n"/>
      <c r="L271" s="121" t="n"/>
      <c r="M271" s="121" t="n"/>
    </row>
    <row r="272" ht="18.75" customHeight="1" s="215">
      <c r="A272" s="152" t="n"/>
      <c r="B272" s="149" t="n">
        <v>255</v>
      </c>
      <c r="C272" s="223" t="inlineStr">
        <is>
          <t>NFF-255 – ADMINISTRADOR (factutas) - modo claro – Contenedor principal (Card): Fondo blanco. Borde gris claro sutil. Border-radius 12px. Sombra suave para dar relieve.</t>
        </is>
      </c>
      <c r="D272" s="218" t="n"/>
      <c r="E272" s="153" t="n"/>
      <c r="F272" s="55" t="inlineStr">
        <is>
          <t>x</t>
        </is>
      </c>
      <c r="G272" s="55" t="n"/>
      <c r="H272" s="55" t="n"/>
      <c r="I272" s="56" t="n"/>
      <c r="J272" s="121" t="n"/>
      <c r="K272" s="121" t="n"/>
      <c r="L272" s="121" t="n"/>
      <c r="M272" s="121" t="n"/>
    </row>
    <row r="273" ht="18.75" customHeight="1" s="215">
      <c r="A273" s="152" t="n"/>
      <c r="B273" s="149" t="n">
        <v>256</v>
      </c>
      <c r="C273" s="223" t="inlineStr">
        <is>
          <t>NFF-256 – ADMINISTRADOR (factutas) - modo claro – Encabezado interno: Título "Facturas recientes" en gris. Subtítulo en gris medio.</t>
        </is>
      </c>
      <c r="D273" s="218" t="n"/>
      <c r="E273" s="153" t="n"/>
      <c r="F273" s="55" t="inlineStr">
        <is>
          <t>x</t>
        </is>
      </c>
      <c r="G273" s="55" t="n"/>
      <c r="H273" s="55" t="n"/>
      <c r="I273" s="56" t="n"/>
      <c r="J273" s="121" t="n"/>
      <c r="K273" s="121" t="n"/>
      <c r="L273" s="121" t="n"/>
      <c r="M273" s="121" t="n"/>
    </row>
    <row r="274" ht="18.75" customHeight="1" s="215">
      <c r="A274" s="152" t="n"/>
      <c r="B274" s="149" t="n">
        <v>257</v>
      </c>
      <c r="C274" s="223" t="inlineStr">
        <is>
          <t>NFF-257 – ADMINISTRADOR (factutas) - modo claro – Fila de etiquetas (Header): Texto en gris medio, peso semi-bold. Columnas: Número, Restaurante, Monto, Fecha, Vencimiento, Estado, Acciones.</t>
        </is>
      </c>
      <c r="D274" s="218" t="n"/>
      <c r="E274" s="153" t="n"/>
      <c r="F274" s="55" t="inlineStr">
        <is>
          <t>x</t>
        </is>
      </c>
      <c r="G274" s="55" t="n"/>
      <c r="H274" s="55" t="n"/>
      <c r="I274" s="56" t="n"/>
      <c r="J274" s="121" t="n"/>
      <c r="K274" s="121" t="n"/>
      <c r="L274" s="121" t="n"/>
      <c r="M274" s="121" t="n"/>
    </row>
    <row r="275" ht="18.75" customHeight="1" s="215">
      <c r="A275" s="152" t="n"/>
      <c r="B275" s="149" t="n">
        <v>258</v>
      </c>
      <c r="C275" s="223" t="inlineStr">
        <is>
          <t>NFF-258 – ADMINISTRADOR (factutas) - modo claro – Cuerpo de tabla: Espacio vacío con fondo blanco. Borde inferior tenue separando la cabecera del contenido.</t>
        </is>
      </c>
      <c r="D275" s="218" t="n"/>
      <c r="E275" s="153" t="n"/>
      <c r="F275" s="55" t="inlineStr">
        <is>
          <t>x</t>
        </is>
      </c>
      <c r="G275" s="55" t="n"/>
      <c r="H275" s="55" t="n"/>
      <c r="I275" s="56" t="n"/>
      <c r="J275" s="121" t="n"/>
      <c r="K275" s="121" t="n"/>
      <c r="L275" s="121" t="n"/>
      <c r="M275" s="121" t="n"/>
    </row>
    <row r="276" ht="18.75" customHeight="1" s="215">
      <c r="A276" s="152" t="n"/>
      <c r="B276" s="149" t="n">
        <v>259</v>
      </c>
      <c r="C276" s="223" t="inlineStr">
        <is>
          <t>NFF-259 – ADMINISTRADOR (factutas) - modo claro – Fondo de la aplicación: Color crema/beige muy claro (#f5f5f4 aprox.) que contrasta con el blanco de la sidebar y las tarjetas.</t>
        </is>
      </c>
      <c r="D276" s="218" t="n"/>
      <c r="E276" s="153" t="n"/>
      <c r="F276" s="55" t="inlineStr">
        <is>
          <t>x</t>
        </is>
      </c>
      <c r="G276" s="55" t="n"/>
      <c r="H276" s="55" t="n"/>
      <c r="I276" s="56" t="n"/>
      <c r="J276" s="121" t="n"/>
      <c r="K276" s="121" t="n"/>
      <c r="L276" s="121" t="n"/>
      <c r="M276" s="121" t="n"/>
    </row>
    <row r="277" ht="18.75" customHeight="1" s="215">
      <c r="A277" s="152" t="n"/>
      <c r="B277" s="149" t="n">
        <v>260</v>
      </c>
      <c r="C277" s="223" t="inlineStr">
        <is>
          <t>NFF-260 – ADMINISTRADOR (flujo diario) - modo claro – Ítem activo "Flujo diario": Fondo naranja sólido (#f97316). Texto blanco puro. Icono de gráfico lineal en blanco. Border-radius 8px.</t>
        </is>
      </c>
      <c r="D277" s="218" t="n"/>
      <c r="E277" s="153" t="n"/>
      <c r="F277" s="55" t="inlineStr">
        <is>
          <t>x</t>
        </is>
      </c>
      <c r="G277" s="55" t="n"/>
      <c r="H277" s="55" t="n"/>
      <c r="I277" s="56" t="n"/>
      <c r="J277" s="121" t="n"/>
      <c r="K277" s="121" t="n"/>
      <c r="L277" s="121" t="n"/>
      <c r="M277" s="121" t="n"/>
    </row>
    <row r="278" ht="18.75" customHeight="1" s="215">
      <c r="A278" s="152" t="n"/>
      <c r="B278" s="149" t="n">
        <v>261</v>
      </c>
      <c r="C278" s="223" t="inlineStr">
        <is>
          <t>NFF-261 – ADMINISTRADOR (flujo diario) - modo claro – Ítems inactivos: Texto gris medio. Sin fondo. Iconos lineales sencillos.</t>
        </is>
      </c>
      <c r="D278" s="218" t="n"/>
      <c r="E278" s="153" t="n"/>
      <c r="F278" s="55" t="inlineStr">
        <is>
          <t>x</t>
        </is>
      </c>
      <c r="G278" s="55" t="n"/>
      <c r="H278" s="55" t="n"/>
      <c r="I278" s="56" t="n"/>
      <c r="J278" s="121" t="n"/>
      <c r="K278" s="121" t="n"/>
      <c r="L278" s="121" t="n"/>
      <c r="M278" s="121" t="n"/>
    </row>
    <row r="279" ht="18.75" customHeight="1" s="215">
      <c r="A279" s="152" t="n"/>
      <c r="B279" s="149" t="n">
        <v>262</v>
      </c>
      <c r="C279" s="223" t="inlineStr">
        <is>
          <t>NFF-262 – ADMINISTRADOR (flujo diario) - modo claro – Sección de usuario: Fondo gris muy tenue. Avatar circular naranja con inicial blanca.</t>
        </is>
      </c>
      <c r="D279" s="218" t="n"/>
      <c r="E279" s="153" t="n"/>
      <c r="F279" s="55" t="inlineStr">
        <is>
          <t>x</t>
        </is>
      </c>
      <c r="G279" s="55" t="n"/>
      <c r="H279" s="55" t="n"/>
      <c r="I279" s="56" t="n"/>
      <c r="J279" s="121" t="n"/>
      <c r="K279" s="121" t="n"/>
      <c r="L279" s="121" t="n"/>
      <c r="M279" s="121" t="n"/>
    </row>
    <row r="280" ht="18.75" customHeight="1" s="215">
      <c r="A280" s="152" t="n"/>
      <c r="B280" s="149" t="n">
        <v>263</v>
      </c>
      <c r="C280" s="223" t="inlineStr">
        <is>
          <t>NFF-263 – ADMINISTRADOR (flujo diario) - modo claro – Indicador de sección (Breadcrumb): Texto "Flujo diario" en gris oscuro, tamaño pequeño, sobre el título principal.</t>
        </is>
      </c>
      <c r="D280" s="218" t="n"/>
      <c r="E280" s="153" t="n"/>
      <c r="F280" s="55" t="inlineStr">
        <is>
          <t>x</t>
        </is>
      </c>
      <c r="G280" s="55" t="n"/>
      <c r="H280" s="55" t="n"/>
      <c r="I280" s="56" t="n"/>
      <c r="J280" s="121" t="n"/>
      <c r="K280" s="121" t="n"/>
      <c r="L280" s="121" t="n"/>
      <c r="M280" s="121" t="n"/>
    </row>
    <row r="281" ht="18.75" customHeight="1" s="215">
      <c r="A281" s="152" t="n"/>
      <c r="B281" s="149" t="n">
        <v>264</v>
      </c>
      <c r="C281" s="223" t="inlineStr">
        <is>
          <t>NFF-264 – ADMINISTRADOR (flujo diario) - modo claro – Título principal: "Buenas tardes" en azul oscuro profundo (#1e293b). Peso bold. Fuente sans-serif.</t>
        </is>
      </c>
      <c r="D281" s="218" t="n"/>
      <c r="E281" s="153" t="n"/>
      <c r="F281" s="55" t="inlineStr">
        <is>
          <t>x</t>
        </is>
      </c>
      <c r="G281" s="55" t="n"/>
      <c r="H281" s="55" t="n"/>
      <c r="I281" s="56" t="n"/>
      <c r="J281" s="121" t="n"/>
      <c r="K281" s="121" t="n"/>
      <c r="L281" s="121" t="n"/>
      <c r="M281" s="121" t="n"/>
    </row>
    <row r="282" ht="18.75" customHeight="1" s="215">
      <c r="A282" s="152" t="n"/>
      <c r="B282" s="149" t="n">
        <v>265</v>
      </c>
      <c r="C282" s="223" t="inlineStr">
        <is>
          <t>NFF-265 – ADMINISTRADOR (flujo diario) - modo claro – Título de vista: "Flujo diario" en negro/gris oscuro. Peso semi-bold.</t>
        </is>
      </c>
      <c r="D282" s="218" t="n"/>
      <c r="E282" s="153" t="n"/>
      <c r="F282" s="55" t="inlineStr">
        <is>
          <t>x</t>
        </is>
      </c>
      <c r="G282" s="55" t="n"/>
      <c r="H282" s="55" t="n"/>
      <c r="I282" s="56" t="n"/>
      <c r="J282" s="121" t="n"/>
      <c r="K282" s="121" t="n"/>
      <c r="L282" s="121" t="n"/>
      <c r="M282" s="121" t="n"/>
    </row>
    <row r="283" ht="18.75" customHeight="1" s="215">
      <c r="A283" s="152" t="n"/>
      <c r="B283" s="149" t="n">
        <v>266</v>
      </c>
      <c r="C283" s="223" t="inlineStr">
        <is>
          <t>NFF-266 – ADMINISTRADOR (flujo diario) - modo claro – Subtítulo descriptivo: Texto gris medio ("Análisis de clientes por hora").</t>
        </is>
      </c>
      <c r="D283" s="218" t="n"/>
      <c r="E283" s="153" t="n"/>
      <c r="F283" s="55" t="inlineStr">
        <is>
          <t>x</t>
        </is>
      </c>
      <c r="G283" s="55" t="n"/>
      <c r="H283" s="55" t="n"/>
      <c r="I283" s="56" t="n"/>
      <c r="J283" s="121" t="n"/>
      <c r="K283" s="121" t="n"/>
      <c r="L283" s="121" t="n"/>
      <c r="M283" s="121" t="n"/>
    </row>
    <row r="284" ht="18.75" customHeight="1" s="215">
      <c r="A284" s="152" t="n"/>
      <c r="B284" s="149" t="n">
        <v>267</v>
      </c>
      <c r="C284" s="223" t="inlineStr">
        <is>
          <t>NFF-267 – ADMINISTRADOR (flujo diario) - modo claro – Distribución: Fila de tres tarjetas iguales (Total clientes, Con reserva, Sin reserva).</t>
        </is>
      </c>
      <c r="D284" s="218" t="n"/>
      <c r="E284" s="153" t="n"/>
      <c r="F284" s="55" t="inlineStr">
        <is>
          <t>x</t>
        </is>
      </c>
      <c r="G284" s="55" t="n"/>
      <c r="H284" s="55" t="n"/>
      <c r="I284" s="56" t="n"/>
      <c r="J284" s="121" t="n"/>
      <c r="K284" s="121" t="n"/>
      <c r="L284" s="121" t="n"/>
      <c r="M284" s="121" t="n"/>
    </row>
    <row r="285" ht="18.75" customHeight="1" s="215">
      <c r="A285" s="152" t="n"/>
      <c r="B285" s="149" t="n">
        <v>268</v>
      </c>
      <c r="C285" s="223" t="inlineStr">
        <is>
          <t>NFF-268 – ADMINISTRADOR (flujo diario) - modo claro – Contenedor: Fondo blanco puro. Border-radius 12px. Sombra suave (box-shadow).</t>
        </is>
      </c>
      <c r="D285" s="218" t="n"/>
      <c r="E285" s="153" t="n"/>
      <c r="F285" s="55" t="inlineStr">
        <is>
          <t>x</t>
        </is>
      </c>
      <c r="G285" s="55" t="n"/>
      <c r="H285" s="55" t="n"/>
      <c r="I285" s="56" t="n"/>
      <c r="J285" s="121" t="n"/>
      <c r="K285" s="121" t="n"/>
      <c r="L285" s="121" t="n"/>
      <c r="M285" s="121" t="n"/>
    </row>
    <row r="286" ht="18.75" customHeight="1" s="215">
      <c r="A286" s="152" t="n"/>
      <c r="B286" s="149" t="n">
        <v>269</v>
      </c>
      <c r="C286" s="223" t="inlineStr">
        <is>
          <t>NFF-269 – ADMINISTRADOR (flujo diario) - modo claro – Etiquetas superiores: Texto gris oscuro, tamaño pequeño.</t>
        </is>
      </c>
      <c r="D286" s="218" t="n"/>
      <c r="E286" s="153" t="n"/>
      <c r="F286" s="55" t="inlineStr">
        <is>
          <t>x</t>
        </is>
      </c>
      <c r="G286" s="55" t="n"/>
      <c r="H286" s="55" t="n"/>
      <c r="I286" s="56" t="n"/>
      <c r="J286" s="121" t="n"/>
      <c r="K286" s="121" t="n"/>
      <c r="L286" s="121" t="n"/>
      <c r="M286" s="121" t="n"/>
    </row>
    <row r="287" ht="18.75" customHeight="1" s="215">
      <c r="A287" s="152" t="n"/>
      <c r="B287" s="149" t="n">
        <v>270</v>
      </c>
      <c r="C287" s="223" t="inlineStr">
        <is>
          <t>NFF-270 – ADMINISTRADOR (flujo diario) - modo claro – Cifras principales: Número "0" en negro/gris oscuro, tamaño grande (aprox. 28px), peso bold.</t>
        </is>
      </c>
      <c r="D287" s="218" t="n"/>
      <c r="E287" s="153" t="n"/>
      <c r="F287" s="55" t="inlineStr">
        <is>
          <t>x</t>
        </is>
      </c>
      <c r="G287" s="55" t="n"/>
      <c r="H287" s="55" t="n"/>
      <c r="I287" s="56" t="n"/>
      <c r="J287" s="121" t="n"/>
      <c r="K287" s="121" t="n"/>
      <c r="L287" s="121" t="n"/>
      <c r="M287" s="121" t="n"/>
    </row>
    <row r="288" ht="18.75" customHeight="1" s="215">
      <c r="A288" s="152" t="n"/>
      <c r="B288" s="149" t="n">
        <v>271</v>
      </c>
      <c r="C288" s="223" t="inlineStr">
        <is>
          <t>NFF-271 – ADMINISTRADOR (flujo diario) - modo claro – Etiquetas inferiores (Subtexto): Texto gris medio ("Hasta ahora", "0% del total").</t>
        </is>
      </c>
      <c r="D288" s="218" t="n"/>
      <c r="E288" s="153" t="n"/>
      <c r="F288" s="55" t="inlineStr">
        <is>
          <t>x</t>
        </is>
      </c>
      <c r="G288" s="55" t="n"/>
      <c r="H288" s="55" t="n"/>
      <c r="I288" s="56" t="n"/>
      <c r="J288" s="121" t="n"/>
      <c r="K288" s="121" t="n"/>
      <c r="L288" s="121" t="n"/>
      <c r="M288" s="121" t="n"/>
    </row>
    <row r="289" ht="18.75" customHeight="1" s="215">
      <c r="A289" s="152" t="n"/>
      <c r="B289" s="149" t="n">
        <v>272</v>
      </c>
      <c r="C289" s="223" t="inlineStr">
        <is>
          <t>NFF-272 – ADMINISTRADOR (flujo diario) - modo claro – Tarjeta principal: Fondo blanco puro. Border-radius 12px. Borde gris claro.</t>
        </is>
      </c>
      <c r="D289" s="218" t="n"/>
      <c r="E289" s="153" t="n"/>
      <c r="F289" s="55" t="inlineStr">
        <is>
          <t>x</t>
        </is>
      </c>
      <c r="G289" s="55" t="n"/>
      <c r="H289" s="55" t="n"/>
      <c r="I289" s="56" t="n"/>
      <c r="J289" s="121" t="n"/>
      <c r="K289" s="121" t="n"/>
      <c r="L289" s="121" t="n"/>
      <c r="M289" s="121" t="n"/>
    </row>
    <row r="290" ht="18.75" customHeight="1" s="215">
      <c r="A290" s="152" t="n"/>
      <c r="B290" s="149" t="n">
        <v>273</v>
      </c>
      <c r="C290" s="223" t="inlineStr">
        <is>
          <t>NFF-273 – ADMINISTRADOR (flujo diario) - modo claro – Encabezado de tarjeta: Título "Flujo por horas" en negro. Subtítulo "Clientes y reservas por franja" en gris medio.</t>
        </is>
      </c>
      <c r="D290" s="218" t="n"/>
      <c r="E290" s="153" t="n"/>
      <c r="F290" s="55" t="inlineStr">
        <is>
          <t>x</t>
        </is>
      </c>
      <c r="G290" s="55" t="n"/>
      <c r="H290" s="55" t="n"/>
      <c r="I290" s="56" t="n"/>
      <c r="J290" s="121" t="n"/>
      <c r="K290" s="121" t="n"/>
      <c r="L290" s="121" t="n"/>
      <c r="M290" s="121" t="n"/>
    </row>
    <row r="291" ht="18.75" customHeight="1" s="215">
      <c r="A291" s="152" t="n"/>
      <c r="B291" s="149" t="n">
        <v>274</v>
      </c>
      <c r="C291" s="223" t="inlineStr">
        <is>
          <t>NFF-274 – ADMINISTRADOR (flujo diario) - modo claro – Estado vacío: Texto "No hay datos de flujo diario." en gris medio, centrado horizontal y verticalmente.</t>
        </is>
      </c>
      <c r="D291" s="218" t="n"/>
      <c r="E291" s="153" t="n"/>
      <c r="F291" s="55" t="inlineStr">
        <is>
          <t>x</t>
        </is>
      </c>
      <c r="G291" s="55" t="n"/>
      <c r="H291" s="55" t="n"/>
      <c r="I291" s="56" t="n"/>
      <c r="J291" s="121" t="n"/>
      <c r="K291" s="121" t="n"/>
      <c r="L291" s="121" t="n"/>
      <c r="M291" s="121" t="n"/>
    </row>
    <row r="292" ht="18.75" customHeight="1" s="215">
      <c r="A292" s="152" t="n"/>
      <c r="B292" s="149" t="n">
        <v>275</v>
      </c>
      <c r="C292" s="223" t="inlineStr">
        <is>
          <t>NFF-275 – ADMINISTRADOR (flujo diario) - modo claro – Fondo general: Color crema/beige muy claro (#f5f5f4 aprox.) para resaltar los contenedores blancos.</t>
        </is>
      </c>
      <c r="D292" s="218" t="n"/>
      <c r="E292" s="153" t="n"/>
      <c r="F292" s="55" t="inlineStr">
        <is>
          <t>x</t>
        </is>
      </c>
      <c r="G292" s="55" t="n"/>
      <c r="H292" s="55" t="n"/>
      <c r="I292" s="56" t="n"/>
      <c r="J292" s="121" t="n"/>
      <c r="K292" s="121" t="n"/>
      <c r="L292" s="121" t="n"/>
      <c r="M292" s="121" t="n"/>
    </row>
    <row r="293" ht="18.75" customHeight="1" s="215">
      <c r="A293" s="152" t="n"/>
      <c r="B293" s="149" t="n">
        <v>276</v>
      </c>
      <c r="C293" s="223" t="inlineStr">
        <is>
          <t>NFF-276 – ADMINISTRADOR (clientes) - modo claro – Ítem activo "Clientes": Fondo naranja sólido (#f97316). Texto blanco puro. Icono de personas lineal. Border-radius 8px.</t>
        </is>
      </c>
      <c r="D293" s="218" t="n"/>
      <c r="E293" s="153" t="n"/>
      <c r="F293" s="55" t="inlineStr">
        <is>
          <t>x</t>
        </is>
      </c>
      <c r="G293" s="55" t="n"/>
      <c r="H293" s="55" t="n"/>
      <c r="I293" s="56" t="n"/>
      <c r="J293" s="121" t="n"/>
      <c r="K293" s="121" t="n"/>
      <c r="L293" s="121" t="n"/>
      <c r="M293" s="121" t="n"/>
    </row>
    <row r="294" ht="18.75" customHeight="1" s="215">
      <c r="A294" s="152" t="n"/>
      <c r="B294" s="149" t="n">
        <v>277</v>
      </c>
      <c r="C294" s="223" t="inlineStr">
        <is>
          <t>NFF-277 – ADMINISTRADOR (clientes) - modo claro – Ítems inactivos: Texto gris medio. Sin fondo. Iconos lineales sencillos en gris.</t>
        </is>
      </c>
      <c r="D294" s="218" t="n"/>
      <c r="E294" s="153" t="n"/>
      <c r="F294" s="55" t="inlineStr">
        <is>
          <t>x</t>
        </is>
      </c>
      <c r="G294" s="55" t="n"/>
      <c r="H294" s="55" t="n"/>
      <c r="I294" s="56" t="n"/>
      <c r="J294" s="121" t="n"/>
      <c r="K294" s="121" t="n"/>
      <c r="L294" s="121" t="n"/>
      <c r="M294" s="121" t="n"/>
    </row>
    <row r="295" ht="18.75" customHeight="1" s="215">
      <c r="A295" s="152" t="n"/>
      <c r="B295" s="149" t="n">
        <v>278</v>
      </c>
      <c r="C295" s="223" t="inlineStr">
        <is>
          <t>NFF-278 – ADMINISTRADOR (clientes) - modo claro – Sección de perfil (inferior): Contenedor con fondo gris muy tenue (#f3f4f6). Avatar circular naranja con letra "A" blanca.</t>
        </is>
      </c>
      <c r="D295" s="218" t="n"/>
      <c r="E295" s="153" t="n"/>
      <c r="F295" s="55" t="inlineStr">
        <is>
          <t>x</t>
        </is>
      </c>
      <c r="G295" s="55" t="n"/>
      <c r="H295" s="55" t="n"/>
      <c r="I295" s="56" t="n"/>
      <c r="J295" s="121" t="n"/>
      <c r="K295" s="121" t="n"/>
      <c r="L295" s="121" t="n"/>
      <c r="M295" s="121" t="n"/>
    </row>
    <row r="296" ht="18.75" customHeight="1" s="215">
      <c r="A296" s="152" t="n"/>
      <c r="B296" s="149" t="n">
        <v>279</v>
      </c>
      <c r="C296" s="223" t="inlineStr">
        <is>
          <t>NFF-279 – ADMINISTRADOR (clientes) - modo claro – Botón "Cerrar sesión": Texto gris medio con icono de salida, ubicado al pie de la sidebar.</t>
        </is>
      </c>
      <c r="D296" s="218" t="n"/>
      <c r="E296" s="153" t="n"/>
      <c r="F296" s="55" t="inlineStr">
        <is>
          <t>x</t>
        </is>
      </c>
      <c r="G296" s="55" t="n"/>
      <c r="H296" s="55" t="n"/>
      <c r="I296" s="56" t="n"/>
      <c r="J296" s="121" t="n"/>
      <c r="K296" s="121" t="n"/>
      <c r="L296" s="121" t="n"/>
      <c r="M296" s="121" t="n"/>
    </row>
    <row r="297" ht="18.75" customHeight="1" s="215">
      <c r="A297" s="152" t="n"/>
      <c r="B297" s="149" t="n">
        <v>280</v>
      </c>
      <c r="C297" s="223" t="inlineStr">
        <is>
          <t>NFF-280 – ADMINISTRADOR (clientes) - modo claro – Breadcrumb: Texto "Clientes" en gris oscuro, tamaño pequeño, posicionado sobre el título principal.</t>
        </is>
      </c>
      <c r="D297" s="218" t="n"/>
      <c r="E297" s="153" t="n"/>
      <c r="F297" s="55" t="inlineStr">
        <is>
          <t>x</t>
        </is>
      </c>
      <c r="G297" s="55" t="n"/>
      <c r="H297" s="55" t="n"/>
      <c r="I297" s="56" t="n"/>
      <c r="J297" s="121" t="n"/>
      <c r="K297" s="121" t="n"/>
      <c r="L297" s="121" t="n"/>
      <c r="M297" s="121" t="n"/>
    </row>
    <row r="298" ht="18.75" customHeight="1" s="215">
      <c r="A298" s="152" t="n"/>
      <c r="B298" s="149" t="n">
        <v>281</v>
      </c>
      <c r="C298" s="223" t="inlineStr">
        <is>
          <t>NFF-281 – ADMINISTRADOR (clientes) - modo claro – Título principal: "Buenas tardes" en azul oscuro profundo (#1e293b). Peso bold. Fuente sans-serif.</t>
        </is>
      </c>
      <c r="D298" s="218" t="n"/>
      <c r="E298" s="153" t="n"/>
      <c r="F298" s="55" t="inlineStr">
        <is>
          <t>x</t>
        </is>
      </c>
      <c r="G298" s="55" t="n"/>
      <c r="H298" s="55" t="n"/>
      <c r="I298" s="56" t="n"/>
      <c r="J298" s="121" t="n"/>
      <c r="K298" s="121" t="n"/>
      <c r="L298" s="121" t="n"/>
      <c r="M298" s="121" t="n"/>
    </row>
    <row r="299" ht="18.75" customHeight="1" s="215">
      <c r="A299" s="152" t="n"/>
      <c r="B299" s="149" t="n">
        <v>282</v>
      </c>
      <c r="C299" s="223" t="inlineStr">
        <is>
          <t>NFF-282 – ADMINISTRADOR (clientes) - modo claro – Texto descriptivo: "Gestiona tu restaurante..." en gris medio. Alineación a la izquierda.</t>
        </is>
      </c>
      <c r="D299" s="218" t="n"/>
      <c r="E299" s="153" t="n"/>
      <c r="F299" s="55" t="inlineStr">
        <is>
          <t>x</t>
        </is>
      </c>
      <c r="G299" s="55" t="n"/>
      <c r="H299" s="55" t="n"/>
      <c r="I299" s="56" t="n"/>
      <c r="J299" s="121" t="n"/>
      <c r="K299" s="121" t="n"/>
      <c r="L299" s="121" t="n"/>
      <c r="M299" s="121" t="n"/>
    </row>
    <row r="300" ht="18.75" customHeight="1" s="215">
      <c r="A300" s="152" t="n"/>
      <c r="B300" s="149" t="n">
        <v>283</v>
      </c>
      <c r="C300" s="223" t="inlineStr">
        <is>
          <t>NFF-283 – ADMINISTRADOR (clientes) - modo claro – Contador de registros: Texto "1 cliente" en gris, fuente pequeña, ubicado sobre el margen superior de la tabla.</t>
        </is>
      </c>
      <c r="D300" s="218" t="n"/>
      <c r="E300" s="153" t="n"/>
      <c r="F300" s="55" t="inlineStr">
        <is>
          <t>x</t>
        </is>
      </c>
      <c r="G300" s="55" t="n"/>
      <c r="H300" s="55" t="n"/>
      <c r="I300" s="56" t="n"/>
      <c r="J300" s="121" t="n"/>
      <c r="K300" s="121" t="n"/>
      <c r="L300" s="121" t="n"/>
      <c r="M300" s="121" t="n"/>
    </row>
    <row r="301" ht="18.75" customHeight="1" s="215">
      <c r="A301" s="152" t="n"/>
      <c r="B301" s="149" t="n">
        <v>284</v>
      </c>
      <c r="C301" s="223" t="inlineStr">
        <is>
          <t>NFF-284 – ADMINISTRADOR (clientes) - modo claro – Contenedor principal (Card): Fondo blanco puro. Borde gris muy claro. Border-radius 12px. Sombra suave (box-shadow).</t>
        </is>
      </c>
      <c r="D301" s="218" t="n"/>
      <c r="E301" s="153" t="n"/>
      <c r="F301" s="55" t="inlineStr">
        <is>
          <t>x</t>
        </is>
      </c>
      <c r="G301" s="55" t="n"/>
      <c r="H301" s="55" t="n"/>
      <c r="I301" s="56" t="n"/>
      <c r="J301" s="121" t="n"/>
      <c r="K301" s="121" t="n"/>
      <c r="L301" s="121" t="n"/>
      <c r="M301" s="121" t="n"/>
    </row>
    <row r="302" ht="18.75" customHeight="1" s="215">
      <c r="A302" s="152" t="n"/>
      <c r="B302" s="149" t="n">
        <v>285</v>
      </c>
      <c r="C302" s="223" t="inlineStr">
        <is>
          <t>NFF-285 – ADMINISTRADOR (clientes) - modo claro – Encabezado de tabla: Fondo gris muy claro. Texto gris oscuro, peso semi-bold. Columnas: Cliente, Email, Reservas, Última visita.</t>
        </is>
      </c>
      <c r="D302" s="218" t="n"/>
      <c r="E302" s="153" t="n"/>
      <c r="F302" s="55" t="inlineStr">
        <is>
          <t>x</t>
        </is>
      </c>
      <c r="G302" s="55" t="n"/>
      <c r="H302" s="55" t="n"/>
      <c r="I302" s="56" t="n"/>
      <c r="J302" s="121" t="n"/>
      <c r="K302" s="121" t="n"/>
      <c r="L302" s="121" t="n"/>
      <c r="M302" s="121" t="n"/>
    </row>
    <row r="303" ht="18.75" customHeight="1" s="215">
      <c r="A303" s="152" t="n"/>
      <c r="B303" s="149" t="n">
        <v>286</v>
      </c>
      <c r="C303" s="223" t="inlineStr">
        <is>
          <t>NFF-286 – ADMINISTRADOR (clientes) - modo claro – Fila de datos: Fondo blanco. Texto en negro/gris oscuro. Borde inferior sutil para separación de registros.</t>
        </is>
      </c>
      <c r="D303" s="218" t="n"/>
      <c r="E303" s="153" t="n"/>
      <c r="F303" s="55" t="inlineStr">
        <is>
          <t>x</t>
        </is>
      </c>
      <c r="G303" s="55" t="n"/>
      <c r="H303" s="55" t="n"/>
      <c r="I303" s="56" t="n"/>
      <c r="J303" s="121" t="n"/>
      <c r="K303" s="121" t="n"/>
      <c r="L303" s="121" t="n"/>
      <c r="M303" s="121" t="n"/>
    </row>
    <row r="304" ht="18.75" customHeight="1" s="215">
      <c r="A304" s="152" t="n"/>
      <c r="B304" s="149" t="n">
        <v>287</v>
      </c>
      <c r="C304" s="223" t="inlineStr">
        <is>
          <t>NFF-287 – ADMINISTRADOR (clientes) - modo claro – Alineación de datos: Texto alineado a la izquierda para nombres y correos; centrado o justificado para métricas numéricas y fechas.</t>
        </is>
      </c>
      <c r="D304" s="218" t="n"/>
      <c r="E304" s="153" t="n"/>
      <c r="F304" s="55" t="inlineStr">
        <is>
          <t>x</t>
        </is>
      </c>
      <c r="G304" s="55" t="n"/>
      <c r="H304" s="55" t="n"/>
      <c r="I304" s="56" t="n"/>
      <c r="J304" s="121" t="n"/>
      <c r="K304" s="121" t="n"/>
      <c r="L304" s="121" t="n"/>
      <c r="M304" s="121" t="n"/>
    </row>
    <row r="305" ht="18.75" customHeight="1" s="215">
      <c r="A305" s="152" t="n"/>
      <c r="B305" s="149" t="n">
        <v>288</v>
      </c>
      <c r="C305" s="223" t="inlineStr">
        <is>
          <t>NFF-288 – ADMINISTRADOR (clientes) - modo claro – Fondo de la aplicación: Color crema/beige muy claro (#f5f5f4).</t>
        </is>
      </c>
      <c r="D305" s="218" t="n"/>
      <c r="E305" s="153" t="n"/>
      <c r="F305" s="55" t="inlineStr">
        <is>
          <t>x</t>
        </is>
      </c>
      <c r="G305" s="55" t="n"/>
      <c r="H305" s="55" t="n"/>
      <c r="I305" s="56" t="n"/>
      <c r="J305" s="121" t="n"/>
      <c r="K305" s="121" t="n"/>
      <c r="L305" s="121" t="n"/>
      <c r="M305" s="121" t="n"/>
    </row>
    <row r="306" ht="18.75" customHeight="1" s="215">
      <c r="A306" s="152" t="n"/>
      <c r="B306" s="149" t="n">
        <v>289</v>
      </c>
      <c r="C306" s="223" t="inlineStr">
        <is>
          <t>NFF-289 – ADMINISTRADOR (clientes) - modo claro – Consistencia: El diseño mantiene la misma paleta cromática y radios de curvatura que el resto del panel administrativo en modo claro.</t>
        </is>
      </c>
      <c r="D306" s="218" t="n"/>
      <c r="E306" s="153" t="n"/>
      <c r="F306" s="55" t="inlineStr">
        <is>
          <t>x</t>
        </is>
      </c>
      <c r="G306" s="55" t="n"/>
      <c r="H306" s="55" t="n"/>
      <c r="I306" s="56" t="n"/>
      <c r="J306" s="121" t="n"/>
      <c r="K306" s="121" t="n"/>
      <c r="L306" s="121" t="n"/>
      <c r="M306" s="121" t="n"/>
    </row>
    <row r="307" ht="18.75" customHeight="1" s="215">
      <c r="A307" s="152" t="n"/>
      <c r="B307" s="149" t="n">
        <v>290</v>
      </c>
      <c r="C307" s="223" t="inlineStr">
        <is>
          <t>NFF-290 – ADMINISTRADOR (correos) - modo claro – Ítem activo "Correos": Fondo naranja sólido (#f97316). Texto blanco puro. Icono de sobre lineal. Border-radius 8px.</t>
        </is>
      </c>
      <c r="D307" s="218" t="n"/>
      <c r="E307" s="153" t="n"/>
      <c r="F307" s="55" t="inlineStr">
        <is>
          <t>x</t>
        </is>
      </c>
      <c r="G307" s="55" t="n"/>
      <c r="H307" s="55" t="n"/>
      <c r="I307" s="56" t="n"/>
      <c r="J307" s="121" t="n"/>
      <c r="K307" s="121" t="n"/>
      <c r="L307" s="121" t="n"/>
      <c r="M307" s="121" t="n"/>
    </row>
    <row r="308" ht="18.75" customHeight="1" s="215">
      <c r="A308" s="152" t="n"/>
      <c r="B308" s="149" t="n">
        <v>291</v>
      </c>
      <c r="C308" s="223" t="inlineStr">
        <is>
          <t>NFF-291 – ADMINISTRADOR (correos) - modo claro – Ítems inactivos: Texto gris medio. Sin fondo. Iconos lineales sencillos en gris.</t>
        </is>
      </c>
      <c r="D308" s="218" t="n"/>
      <c r="E308" s="153" t="n"/>
      <c r="F308" s="55" t="inlineStr">
        <is>
          <t>x</t>
        </is>
      </c>
      <c r="G308" s="55" t="n"/>
      <c r="H308" s="55" t="n"/>
      <c r="I308" s="56" t="n"/>
      <c r="J308" s="121" t="n"/>
      <c r="K308" s="121" t="n"/>
      <c r="L308" s="121" t="n"/>
      <c r="M308" s="121" t="n"/>
    </row>
    <row r="309" ht="18.75" customHeight="1" s="215">
      <c r="A309" s="152" t="n"/>
      <c r="B309" s="149" t="n">
        <v>292</v>
      </c>
      <c r="C309" s="223" t="inlineStr">
        <is>
          <t>NFF-292 – ADMINISTRADOR (correos) - modo claro – Sección de perfil (inferior): Contenedor con fondo gris muy tenue (#f3f4f6). Avatar circular naranja con letra "A" blanca.</t>
        </is>
      </c>
      <c r="D309" s="218" t="n"/>
      <c r="E309" s="153" t="n"/>
      <c r="F309" s="55" t="inlineStr">
        <is>
          <t>x</t>
        </is>
      </c>
      <c r="G309" s="55" t="n"/>
      <c r="H309" s="55" t="n"/>
      <c r="I309" s="56" t="n"/>
      <c r="J309" s="121" t="n"/>
      <c r="K309" s="121" t="n"/>
      <c r="L309" s="121" t="n"/>
      <c r="M309" s="121" t="n"/>
    </row>
    <row r="310" ht="18.75" customHeight="1" s="215">
      <c r="A310" s="152" t="n"/>
      <c r="B310" s="149" t="n">
        <v>293</v>
      </c>
      <c r="C310" s="223" t="inlineStr">
        <is>
          <t>NFF-293 – ADMINISTRADOR (correos) - modo claro – Breadcrumb: Texto "Correos" en gris oscuro, tamaño pequeño, posicionado sobre el título principal.</t>
        </is>
      </c>
      <c r="D310" s="218" t="n"/>
      <c r="E310" s="153" t="n"/>
      <c r="F310" s="55" t="inlineStr">
        <is>
          <t>x</t>
        </is>
      </c>
      <c r="G310" s="55" t="n"/>
      <c r="H310" s="55" t="n"/>
      <c r="I310" s="56" t="n"/>
      <c r="J310" s="121" t="n"/>
      <c r="K310" s="121" t="n"/>
      <c r="L310" s="121" t="n"/>
      <c r="M310" s="121" t="n"/>
    </row>
    <row r="311" ht="18.75" customHeight="1" s="215">
      <c r="A311" s="152" t="n"/>
      <c r="B311" s="149" t="n">
        <v>294</v>
      </c>
      <c r="C311" s="223" t="inlineStr">
        <is>
          <t>NFF-294 – ADMINISTRADOR (correos) - modo claro – Título principal: "Buenas tardes" en azul oscuro profundo (#1e293b). Peso bold. Fuente sans-serif.</t>
        </is>
      </c>
      <c r="D311" s="218" t="n"/>
      <c r="E311" s="153" t="n"/>
      <c r="F311" s="55" t="inlineStr">
        <is>
          <t>x</t>
        </is>
      </c>
      <c r="G311" s="55" t="n"/>
      <c r="H311" s="55" t="n"/>
      <c r="I311" s="56" t="n"/>
      <c r="J311" s="121" t="n"/>
      <c r="K311" s="121" t="n"/>
      <c r="L311" s="121" t="n"/>
      <c r="M311" s="121" t="n"/>
    </row>
    <row r="312" ht="18.75" customHeight="1" s="215">
      <c r="A312" s="152" t="n"/>
      <c r="B312" s="149" t="n">
        <v>295</v>
      </c>
      <c r="C312" s="223" t="inlineStr">
        <is>
          <t>NFF-295 – ADMINISTRADOR (correos) - modo claro – Texto descriptivo: "Gestiona tu restaurante..." en gris medio.</t>
        </is>
      </c>
      <c r="D312" s="218" t="n"/>
      <c r="E312" s="153" t="n"/>
      <c r="F312" s="55" t="inlineStr">
        <is>
          <t>x</t>
        </is>
      </c>
      <c r="G312" s="55" t="n"/>
      <c r="H312" s="55" t="n"/>
      <c r="I312" s="56" t="n"/>
      <c r="J312" s="121" t="n"/>
      <c r="K312" s="121" t="n"/>
      <c r="L312" s="121" t="n"/>
      <c r="M312" s="121" t="n"/>
    </row>
    <row r="313" ht="18.75" customHeight="1" s="215">
      <c r="A313" s="152" t="n"/>
      <c r="B313" s="149" t="n">
        <v>296</v>
      </c>
      <c r="C313" s="223" t="inlineStr">
        <is>
          <t>NFF-296 – ADMINISTRADOR (correos) - modo claro – Contenedor principal (Card): Fondo blanco puro. Borde gris muy claro. Border-radius 12px. Sombra suave (box-shadow).</t>
        </is>
      </c>
      <c r="D313" s="218" t="n"/>
      <c r="E313" s="153" t="n"/>
      <c r="F313" s="55" t="inlineStr">
        <is>
          <t>x</t>
        </is>
      </c>
      <c r="G313" s="55" t="n"/>
      <c r="H313" s="55" t="n"/>
      <c r="I313" s="56" t="n"/>
      <c r="J313" s="121" t="n"/>
      <c r="K313" s="121" t="n"/>
      <c r="L313" s="121" t="n"/>
      <c r="M313" s="121" t="n"/>
    </row>
    <row r="314" ht="18.75" customHeight="1" s="215">
      <c r="A314" s="152" t="n"/>
      <c r="B314" s="149" t="n">
        <v>297</v>
      </c>
      <c r="C314" s="223" t="inlineStr">
        <is>
          <t>NFF-297 – ADMINISTRADOR (correos) - modo claro – Encabezado de tarjeta: Icono de sobre lineal seguido de "Correos no leídos" en azul oscuro. Peso semi-bold.</t>
        </is>
      </c>
      <c r="D314" s="218" t="n"/>
      <c r="E314" s="153" t="n"/>
      <c r="F314" s="55" t="inlineStr">
        <is>
          <t>x</t>
        </is>
      </c>
      <c r="G314" s="55" t="n"/>
      <c r="H314" s="55" t="n"/>
      <c r="I314" s="56" t="n"/>
      <c r="J314" s="121" t="n"/>
      <c r="K314" s="121" t="n"/>
      <c r="L314" s="121" t="n"/>
      <c r="M314" s="121" t="n"/>
    </row>
    <row r="315" ht="18.75" customHeight="1" s="215">
      <c r="A315" s="152" t="n"/>
      <c r="B315" s="149" t="n">
        <v>298</v>
      </c>
      <c r="C315" s="223" t="inlineStr">
        <is>
          <t>NFF-298 – ADMINISTRADOR (correos) - modo claro – Texto informativo: Color gris medio, tamaño de fuente reducido, ubicado bajo el título de la tarjeta.</t>
        </is>
      </c>
      <c r="D315" s="218" t="n"/>
      <c r="E315" s="153" t="n"/>
      <c r="F315" s="55" t="inlineStr">
        <is>
          <t>x</t>
        </is>
      </c>
      <c r="G315" s="55" t="n"/>
      <c r="H315" s="55" t="n"/>
      <c r="I315" s="56" t="n"/>
      <c r="J315" s="121" t="n"/>
      <c r="K315" s="121" t="n"/>
      <c r="L315" s="121" t="n"/>
      <c r="M315" s="121" t="n"/>
    </row>
    <row r="316" ht="18.75" customHeight="1" s="215">
      <c r="A316" s="152" t="n"/>
      <c r="B316" s="149" t="n">
        <v>299</v>
      </c>
      <c r="C316" s="223" t="inlineStr">
        <is>
          <t>NFF-299 – ADMINISTRADOR (correos) - modo claro – Botón "Actualizar": Fondo gris muy claro. Texto gris oscuro. Icono de rotación a la izquierda. Border-radius 8px.</t>
        </is>
      </c>
      <c r="D316" s="218" t="n"/>
      <c r="E316" s="153" t="n"/>
      <c r="F316" s="55" t="inlineStr">
        <is>
          <t>x</t>
        </is>
      </c>
      <c r="G316" s="55" t="n"/>
      <c r="H316" s="55" t="n"/>
      <c r="I316" s="56" t="n"/>
      <c r="J316" s="121" t="n"/>
      <c r="K316" s="121" t="n"/>
      <c r="L316" s="121" t="n"/>
      <c r="M316" s="121" t="n"/>
    </row>
    <row r="317" ht="18.75" customHeight="1" s="215">
      <c r="A317" s="152" t="n"/>
      <c r="B317" s="149" t="n">
        <v>300</v>
      </c>
      <c r="C317" s="223" t="inlineStr">
        <is>
          <t>NFF-300 – ADMINISTRADOR (correos) - modo claro – Contenedor interno: Rectángulo con borde punteado (dashed) en gris muy tenue. Centrado dentro de la tarjeta principal.</t>
        </is>
      </c>
      <c r="D317" s="218" t="n"/>
      <c r="E317" s="153" t="n"/>
      <c r="F317" s="55" t="inlineStr">
        <is>
          <t>x</t>
        </is>
      </c>
      <c r="G317" s="55" t="n"/>
      <c r="H317" s="55" t="n"/>
      <c r="I317" s="56" t="n"/>
      <c r="J317" s="121" t="n"/>
      <c r="K317" s="121" t="n"/>
      <c r="L317" s="121" t="n"/>
      <c r="M317" s="121" t="n"/>
    </row>
    <row r="318" ht="18.75" customHeight="1" s="215">
      <c r="A318" s="152" t="n"/>
      <c r="B318" s="149" t="n">
        <v>301</v>
      </c>
      <c r="C318" s="223" t="inlineStr">
        <is>
          <t>NFF-301 – ADMINISTRADOR (correos) - modo claro – Icono central: Icono de sobre lineal en gris medio, tamaño grande, centrado vertical y horizontalmente.</t>
        </is>
      </c>
      <c r="D318" s="218" t="n"/>
      <c r="E318" s="153" t="n"/>
      <c r="F318" s="55" t="inlineStr">
        <is>
          <t>x</t>
        </is>
      </c>
      <c r="G318" s="55" t="n"/>
      <c r="H318" s="55" t="n"/>
      <c r="I318" s="56" t="n"/>
      <c r="J318" s="121" t="n"/>
      <c r="K318" s="121" t="n"/>
      <c r="L318" s="121" t="n"/>
      <c r="M318" s="121" t="n"/>
    </row>
    <row r="319" ht="18.75" customHeight="1" s="215">
      <c r="A319" s="152" t="n"/>
      <c r="B319" s="149" t="n">
        <v>302</v>
      </c>
      <c r="C319" s="223" t="inlineStr">
        <is>
          <t>NFF-302 – ADMINISTRADOR (correos) - modo claro – Mensaje principal: "No hay correos no leídos" en negro/gris oscuro. Peso bold.</t>
        </is>
      </c>
      <c r="D319" s="218" t="n"/>
      <c r="E319" s="153" t="n"/>
      <c r="F319" s="55" t="inlineStr">
        <is>
          <t>x</t>
        </is>
      </c>
      <c r="G319" s="55" t="n"/>
      <c r="H319" s="55" t="n"/>
      <c r="I319" s="56" t="n"/>
      <c r="J319" s="121" t="n"/>
      <c r="K319" s="121" t="n"/>
      <c r="L319" s="121" t="n"/>
      <c r="M319" s="121" t="n"/>
    </row>
    <row r="320" ht="18.75" customHeight="1" s="215">
      <c r="A320" s="152" t="n"/>
      <c r="B320" s="149" t="n">
        <v>303</v>
      </c>
      <c r="C320" s="223" t="inlineStr">
        <is>
          <t>NFF-303 – ADMINISTRADOR (correos) - modo claro – Subtexto informativo: Frase descriptiva en gris medio ubicada debajo del mensaje principal.</t>
        </is>
      </c>
      <c r="D320" s="218" t="n"/>
      <c r="E320" s="153" t="n"/>
      <c r="F320" s="55" t="inlineStr">
        <is>
          <t>x</t>
        </is>
      </c>
      <c r="G320" s="55" t="n"/>
      <c r="H320" s="55" t="n"/>
      <c r="I320" s="56" t="n"/>
      <c r="J320" s="121" t="n"/>
      <c r="K320" s="121" t="n"/>
      <c r="L320" s="121" t="n"/>
      <c r="M320" s="121" t="n"/>
    </row>
    <row r="321" ht="18.75" customHeight="1" s="215">
      <c r="A321" s="152" t="n"/>
      <c r="B321" s="149" t="n">
        <v>304</v>
      </c>
      <c r="C321" s="223" t="inlineStr">
        <is>
          <t>NFF-304 – ADMINISTRADOR (correos) - modo claro – Fondo de la aplicación: Color crema/beige muy claro (#f5f5f4 aprox.).</t>
        </is>
      </c>
      <c r="D321" s="218" t="n"/>
      <c r="E321" s="153" t="n"/>
      <c r="F321" s="55" t="inlineStr">
        <is>
          <t>x</t>
        </is>
      </c>
      <c r="G321" s="55" t="n"/>
      <c r="H321" s="55" t="n"/>
      <c r="I321" s="56" t="n"/>
      <c r="J321" s="121" t="n"/>
      <c r="K321" s="121" t="n"/>
      <c r="L321" s="121" t="n"/>
      <c r="M321" s="121" t="n"/>
    </row>
    <row r="322" ht="18.75" customHeight="1" s="215">
      <c r="A322" s="152" t="n"/>
      <c r="B322" s="149" t="n">
        <v>305</v>
      </c>
      <c r="C322" s="223" t="inlineStr">
        <is>
          <t>NFF-305 – ADMINISTRADOR (configuracion) - modo claro – Ítem activo "Configuración": Fondo naranja sólido (#ff7a3e aprox.), texto blanco puro, icono lineal blanco, border-radius 8px.</t>
        </is>
      </c>
      <c r="D322" s="218" t="n"/>
      <c r="E322" s="153" t="n"/>
      <c r="F322" s="55" t="inlineStr">
        <is>
          <t>x</t>
        </is>
      </c>
      <c r="G322" s="55" t="n"/>
      <c r="H322" s="55" t="n"/>
      <c r="I322" s="56" t="n"/>
      <c r="J322" s="121" t="n"/>
      <c r="K322" s="121" t="n"/>
      <c r="L322" s="121" t="n"/>
      <c r="M322" s="121" t="n"/>
    </row>
    <row r="323" ht="18.75" customHeight="1" s="215">
      <c r="A323" s="152" t="n"/>
      <c r="B323" s="149" t="n">
        <v>306</v>
      </c>
      <c r="C323" s="223" t="inlineStr">
        <is>
          <t>NFF-306 – ADMINISTRADOR (configuracion) - modo claro – Barra lateral: Fondo blanco sólido (#ffffff), borde derecho gris muy claro.</t>
        </is>
      </c>
      <c r="D323" s="218" t="n"/>
      <c r="E323" s="153" t="n"/>
      <c r="F323" s="55" t="inlineStr">
        <is>
          <t>x</t>
        </is>
      </c>
      <c r="G323" s="55" t="n"/>
      <c r="H323" s="55" t="n"/>
      <c r="I323" s="56" t="n"/>
      <c r="J323" s="121" t="n"/>
      <c r="K323" s="121" t="n"/>
      <c r="L323" s="121" t="n"/>
      <c r="M323" s="121" t="n"/>
    </row>
    <row r="324" ht="18.75" customHeight="1" s="215">
      <c r="A324" s="152" t="n"/>
      <c r="B324" s="149" t="n">
        <v>307</v>
      </c>
      <c r="C324" s="223" t="inlineStr">
        <is>
          <t>NFF-307 – ADMINISTRADOR (configuracion) - modo claro – Sección de perfil: Bloque inferior con fondo gris muy tenue, avatar naranja circular con inicial blanca.</t>
        </is>
      </c>
      <c r="D324" s="218" t="n"/>
      <c r="E324" s="153" t="n"/>
      <c r="F324" s="55" t="inlineStr">
        <is>
          <t>x</t>
        </is>
      </c>
      <c r="G324" s="55" t="n"/>
      <c r="H324" s="55" t="n"/>
      <c r="I324" s="56" t="n"/>
      <c r="J324" s="121" t="n"/>
      <c r="K324" s="121" t="n"/>
      <c r="L324" s="121" t="n"/>
      <c r="M324" s="121" t="n"/>
    </row>
    <row r="325" ht="18.75" customHeight="1" s="215">
      <c r="A325" s="152" t="n"/>
      <c r="B325" s="149" t="n">
        <v>308</v>
      </c>
      <c r="C325" s="223" t="inlineStr">
        <is>
          <t>NFF-308 – ADMINISTRADOR (configuracion) - modo claro – Fondo de aplicación: Color beige/crema muy claro (#f5f5f4 aprox.).</t>
        </is>
      </c>
      <c r="D325" s="218" t="n"/>
      <c r="E325" s="153" t="n"/>
      <c r="F325" s="55" t="inlineStr">
        <is>
          <t>x</t>
        </is>
      </c>
      <c r="G325" s="55" t="n"/>
      <c r="H325" s="55" t="n"/>
      <c r="I325" s="56" t="n"/>
      <c r="J325" s="121" t="n"/>
      <c r="K325" s="121" t="n"/>
      <c r="L325" s="121" t="n"/>
      <c r="M325" s="121" t="n"/>
    </row>
    <row r="326" ht="18.75" customHeight="1" s="215">
      <c r="A326" s="152" t="n"/>
      <c r="B326" s="149" t="n">
        <v>309</v>
      </c>
      <c r="C326" s="223" t="inlineStr">
        <is>
          <t>NFF-309 – ADMINISTRADOR (configuracion) - modo claro – Breadcrumb: Texto "Configuración" en gris oscuro, tamaño pequeño, ubicado sobre el título principal.</t>
        </is>
      </c>
      <c r="D326" s="218" t="n"/>
      <c r="E326" s="153" t="n"/>
      <c r="F326" s="55" t="inlineStr">
        <is>
          <t>x</t>
        </is>
      </c>
      <c r="G326" s="55" t="n"/>
      <c r="H326" s="55" t="n"/>
      <c r="I326" s="56" t="n"/>
      <c r="J326" s="121" t="n"/>
      <c r="K326" s="121" t="n"/>
      <c r="L326" s="121" t="n"/>
      <c r="M326" s="121" t="n"/>
    </row>
    <row r="327" ht="18.75" customHeight="1" s="215">
      <c r="A327" s="152" t="n"/>
      <c r="B327" s="149" t="n">
        <v>310</v>
      </c>
      <c r="C327" s="223" t="inlineStr">
        <is>
          <t>NFF-310 – ADMINISTRADOR (configuracion) - modo claro – Título principal: "Buenas tardes" en azul oscuro profundo (#1e293b), peso bold, fuente sans-serif.</t>
        </is>
      </c>
      <c r="D327" s="218" t="n"/>
      <c r="E327" s="153" t="n"/>
      <c r="F327" s="55" t="inlineStr">
        <is>
          <t>x</t>
        </is>
      </c>
      <c r="G327" s="55" t="n"/>
      <c r="H327" s="55" t="n"/>
      <c r="I327" s="56" t="n"/>
      <c r="J327" s="121" t="n"/>
      <c r="K327" s="121" t="n"/>
      <c r="L327" s="121" t="n"/>
      <c r="M327" s="121" t="n"/>
    </row>
    <row r="328" ht="18.75" customHeight="1" s="215">
      <c r="A328" s="152" t="n"/>
      <c r="B328" s="149" t="n">
        <v>311</v>
      </c>
      <c r="C328" s="223" t="inlineStr">
        <is>
          <t>NFF-311 – ADMINISTRADOR (configuracion) - modo claro – Contenedor de tarjeta: Fondo blanco puro, borde gris claro, border-radius 12px, sombra suave (box-shadow).</t>
        </is>
      </c>
      <c r="D328" s="218" t="n"/>
      <c r="E328" s="153" t="n"/>
      <c r="F328" s="55" t="inlineStr">
        <is>
          <t>x</t>
        </is>
      </c>
      <c r="G328" s="55" t="n"/>
      <c r="H328" s="55" t="n"/>
      <c r="I328" s="56" t="n"/>
      <c r="J328" s="121" t="n"/>
      <c r="K328" s="121" t="n"/>
      <c r="L328" s="121" t="n"/>
      <c r="M328" s="121" t="n"/>
    </row>
    <row r="329" ht="18.75" customHeight="1" s="215">
      <c r="A329" s="152" t="n"/>
      <c r="B329" s="149" t="n">
        <v>312</v>
      </c>
      <c r="C329" s="223" t="inlineStr">
        <is>
          <t>NFF-312 – ADMINISTRADOR (configuracion) - modo claro – Encabezado de tarjeta: Título en azul oscuro con icono lineal (avión de papel para SMTP, sobre para IMAP) y descripción en gris medio.</t>
        </is>
      </c>
      <c r="D329" s="218" t="n"/>
      <c r="E329" s="153" t="n"/>
      <c r="F329" s="55" t="inlineStr">
        <is>
          <t>x</t>
        </is>
      </c>
      <c r="G329" s="55" t="n"/>
      <c r="H329" s="55" t="n"/>
      <c r="I329" s="56" t="n"/>
      <c r="J329" s="121" t="n"/>
      <c r="K329" s="121" t="n"/>
      <c r="L329" s="121" t="n"/>
      <c r="M329" s="121" t="n"/>
    </row>
    <row r="330" ht="18.75" customHeight="1" s="215">
      <c r="A330" s="152" t="n"/>
      <c r="B330" s="149" t="n">
        <v>313</v>
      </c>
      <c r="C330" s="223" t="inlineStr">
        <is>
          <t>NFF-313 – ADMINISTRADOR (configuracion) - modo claro – Etiquetas de campo (Labels): Texto gris medio, tamaño de fuente pequeño (12px aprox.), peso regular.</t>
        </is>
      </c>
      <c r="D330" s="218" t="n"/>
      <c r="E330" s="153" t="n"/>
      <c r="F330" s="55" t="inlineStr">
        <is>
          <t>x</t>
        </is>
      </c>
      <c r="G330" s="55" t="n"/>
      <c r="H330" s="55" t="n"/>
      <c r="I330" s="56" t="n"/>
      <c r="J330" s="121" t="n"/>
      <c r="K330" s="121" t="n"/>
      <c r="L330" s="121" t="n"/>
      <c r="M330" s="121" t="n"/>
    </row>
    <row r="331" ht="18.75" customHeight="1" s="215">
      <c r="A331" s="152" t="n"/>
      <c r="B331" s="149" t="n">
        <v>314</v>
      </c>
      <c r="C331" s="223" t="inlineStr">
        <is>
          <t>NFF-314 – ADMINISTRADOR (configuracion) - modo claro – Cajas de texto (Inputs): Fondo blanco, borde gris claro, border-radius 8px, altura aprox. 40px.</t>
        </is>
      </c>
      <c r="D331" s="218" t="n"/>
      <c r="E331" s="153" t="n"/>
      <c r="F331" s="55" t="inlineStr">
        <is>
          <t>x</t>
        </is>
      </c>
      <c r="G331" s="55" t="n"/>
      <c r="H331" s="55" t="n"/>
      <c r="I331" s="56" t="n"/>
      <c r="J331" s="121" t="n"/>
      <c r="K331" s="121" t="n"/>
      <c r="L331" s="121" t="n"/>
      <c r="M331" s="121" t="n"/>
    </row>
    <row r="332" ht="18.75" customHeight="1" s="215">
      <c r="A332" s="152" t="n"/>
      <c r="B332" s="149" t="n">
        <v>315</v>
      </c>
      <c r="C332" s="223" t="inlineStr">
        <is>
          <t>NFF-315 – ADMINISTRADOR (configuracion) - modo claro – Botón "Guardar SMTP": Fondo naranja sólido (#ff7a3e aprox.), texto blanco, border-radius 8px, peso bold.</t>
        </is>
      </c>
      <c r="D332" s="218" t="n"/>
      <c r="E332" s="153" t="n"/>
      <c r="F332" s="55" t="inlineStr">
        <is>
          <t>x</t>
        </is>
      </c>
      <c r="G332" s="55" t="n"/>
      <c r="H332" s="55" t="n"/>
      <c r="I332" s="56" t="n"/>
      <c r="J332" s="121" t="n"/>
      <c r="K332" s="121" t="n"/>
      <c r="L332" s="121" t="n"/>
      <c r="M332" s="121" t="n"/>
    </row>
    <row r="333" ht="18.75" customHeight="1" s="215">
      <c r="A333" s="152" t="n"/>
      <c r="B333" s="149" t="n">
        <v>316</v>
      </c>
      <c r="C333" s="223" t="inlineStr">
        <is>
          <t>NFF-316 – ADMINISTRADOR (configuracion) - modo claro – Botón "Guardar IMAP": Fondo verde grisáceo (#7a9e88 aprox.), texto blanco, border-radius 8px, peso bold.</t>
        </is>
      </c>
      <c r="D333" s="218" t="n"/>
      <c r="E333" s="153" t="n"/>
      <c r="F333" s="55" t="inlineStr">
        <is>
          <t>x</t>
        </is>
      </c>
      <c r="G333" s="55" t="n"/>
      <c r="H333" s="55" t="n"/>
      <c r="I333" s="56" t="n"/>
      <c r="J333" s="121" t="n"/>
      <c r="K333" s="121" t="n"/>
      <c r="L333" s="121" t="n"/>
      <c r="M333" s="121" t="n"/>
    </row>
    <row r="334" ht="18.75" customHeight="1" s="215">
      <c r="A334" s="152" t="n"/>
      <c r="B334" s="149" t="n">
        <v>317</v>
      </c>
      <c r="C334" s="223" t="inlineStr">
        <is>
          <t>NFF-317 – ADMINISTRADOR (configuracion) - modo claro – Espaciado: Margen consistente entre tarjetas y relleno interno generoso (padding) en todos los formularios.</t>
        </is>
      </c>
      <c r="D334" s="218" t="n"/>
      <c r="E334" s="153" t="n"/>
      <c r="F334" s="55" t="inlineStr">
        <is>
          <t>x</t>
        </is>
      </c>
      <c r="G334" s="55" t="n"/>
      <c r="H334" s="55" t="n"/>
      <c r="I334" s="56" t="n"/>
      <c r="J334" s="121" t="n"/>
      <c r="K334" s="121" t="n"/>
      <c r="L334" s="121" t="n"/>
      <c r="M334" s="121" t="n"/>
    </row>
    <row r="335" ht="18.75" customHeight="1" s="215">
      <c r="A335" s="152" t="n"/>
      <c r="B335" s="149" t="n">
        <v>318</v>
      </c>
      <c r="C335" s="223" t="inlineStr">
        <is>
          <t>NFF-318 – ADMINISTRADOR (configuracion) - modo claro – Tipografía: Jerarquía clara mediante el uso de azul oscuro para títulos y gris para elementos secundarios.</t>
        </is>
      </c>
      <c r="D335" s="218" t="n"/>
      <c r="E335" s="153" t="n"/>
      <c r="F335" s="55" t="inlineStr">
        <is>
          <t>x</t>
        </is>
      </c>
      <c r="G335" s="55" t="n"/>
      <c r="H335" s="55" t="n"/>
      <c r="I335" s="56" t="n"/>
      <c r="J335" s="121" t="n"/>
      <c r="K335" s="121" t="n"/>
      <c r="L335" s="121" t="n"/>
      <c r="M335" s="121" t="n"/>
    </row>
    <row r="336" ht="18.75" customHeight="1" s="215">
      <c r="A336" s="152" t="n"/>
      <c r="B336" s="149" t="n">
        <v>319</v>
      </c>
      <c r="C336" s="223" t="inlineStr">
        <is>
          <t>NFF-319 – ADMINISTRADOR (resumen) - modo oscuro – Fondo de Sidebar: Negro sólido con un borde derecho gris oscuro muy sutil.</t>
        </is>
      </c>
      <c r="D336" s="218" t="n"/>
      <c r="E336" s="153" t="n"/>
      <c r="F336" s="55" t="inlineStr">
        <is>
          <t>x</t>
        </is>
      </c>
      <c r="G336" s="55" t="n"/>
      <c r="H336" s="55" t="n"/>
      <c r="I336" s="56" t="n"/>
      <c r="J336" s="121" t="n"/>
      <c r="K336" s="121" t="n"/>
      <c r="L336" s="121" t="n"/>
      <c r="M336" s="121" t="n"/>
    </row>
    <row r="337" ht="18.75" customHeight="1" s="215">
      <c r="A337" s="152" t="n"/>
      <c r="B337" s="149" t="n">
        <v>320</v>
      </c>
      <c r="C337" s="223" t="inlineStr">
        <is>
          <t>NFF-320 – ADMINISTRADOR (resumen) - modo oscuro – Ítem activo "Resumen": Fondo rojo oscuro (#991b1b). Texto blanco puro (#ffffff). Borde izquierdo rojo brillante. Border-radius 8px.</t>
        </is>
      </c>
      <c r="D337" s="218" t="n"/>
      <c r="E337" s="153" t="n"/>
      <c r="F337" s="55" t="inlineStr">
        <is>
          <t>x</t>
        </is>
      </c>
      <c r="G337" s="55" t="n"/>
      <c r="H337" s="55" t="n"/>
      <c r="I337" s="56" t="n"/>
      <c r="J337" s="121" t="n"/>
      <c r="K337" s="121" t="n"/>
      <c r="L337" s="121" t="n"/>
      <c r="M337" s="121" t="n"/>
    </row>
    <row r="338" ht="18.75" customHeight="1" s="215">
      <c r="A338" s="152" t="n"/>
      <c r="B338" s="149" t="n">
        <v>321</v>
      </c>
      <c r="C338" s="223" t="inlineStr">
        <is>
          <t>NFF-321 – ADMINISTRADOR (resumen) - modo oscuro – Ítems inactivos: Texto gris medio. Iconos lineales sencillos en gris claro.</t>
        </is>
      </c>
      <c r="D338" s="218" t="n"/>
      <c r="E338" s="153" t="n"/>
      <c r="F338" s="55" t="inlineStr">
        <is>
          <t>x</t>
        </is>
      </c>
      <c r="G338" s="55" t="n"/>
      <c r="H338" s="55" t="n"/>
      <c r="I338" s="56" t="n"/>
      <c r="J338" s="121" t="n"/>
      <c r="K338" s="121" t="n"/>
      <c r="L338" s="121" t="n"/>
      <c r="M338" s="121" t="n"/>
    </row>
    <row r="339" ht="18.75" customHeight="1" s="215">
      <c r="A339" s="152" t="n"/>
      <c r="B339" s="149" t="n">
        <v>322</v>
      </c>
      <c r="C339" s="223" t="inlineStr">
        <is>
          <t>NFF-322 – ADMINISTRADOR (resumen) - modo oscuro – Sección de perfil (inferior): Contenedor con fondo gris muy oscuro. Avatar circular naranja con letra "A" blanca. Nombre en blanco y correo en gris medio.</t>
        </is>
      </c>
      <c r="D339" s="218" t="n"/>
      <c r="E339" s="153" t="n"/>
      <c r="F339" s="55" t="inlineStr">
        <is>
          <t>x</t>
        </is>
      </c>
      <c r="G339" s="55" t="n"/>
      <c r="H339" s="55" t="n"/>
      <c r="I339" s="56" t="n"/>
      <c r="J339" s="121" t="n"/>
      <c r="K339" s="121" t="n"/>
      <c r="L339" s="121" t="n"/>
      <c r="M339" s="121" t="n"/>
    </row>
    <row r="340" ht="18.75" customHeight="1" s="215">
      <c r="A340" s="152" t="n"/>
      <c r="B340" s="149" t="n">
        <v>323</v>
      </c>
      <c r="C340" s="223" t="inlineStr">
        <is>
          <t>NFF-323 – ADMINISTRADOR (resumen) - modo oscuro – Fondo general: Color negro/gris muy oscuro (#0a0a0a aprox.).</t>
        </is>
      </c>
      <c r="D340" s="218" t="n"/>
      <c r="E340" s="153" t="n"/>
      <c r="F340" s="55" t="inlineStr">
        <is>
          <t>x</t>
        </is>
      </c>
      <c r="G340" s="55" t="n"/>
      <c r="H340" s="55" t="n"/>
      <c r="I340" s="56" t="n"/>
      <c r="J340" s="121" t="n"/>
      <c r="K340" s="121" t="n"/>
      <c r="L340" s="121" t="n"/>
      <c r="M340" s="121" t="n"/>
    </row>
    <row r="341" ht="18.75" customHeight="1" s="215">
      <c r="A341" s="152" t="n"/>
      <c r="B341" s="149" t="n">
        <v>324</v>
      </c>
      <c r="C341" s="223" t="inlineStr">
        <is>
          <t>NFF-324 – ADMINISTRADOR (resumen) - modo oscuro – Indicador de sección: Texto "Resumen" en gris claro sobre el título principal.</t>
        </is>
      </c>
      <c r="D341" s="218" t="n"/>
      <c r="E341" s="153" t="n"/>
      <c r="F341" s="55" t="inlineStr">
        <is>
          <t>x</t>
        </is>
      </c>
      <c r="G341" s="55" t="n"/>
      <c r="H341" s="55" t="n"/>
      <c r="I341" s="56" t="n"/>
      <c r="J341" s="121" t="n"/>
      <c r="K341" s="121" t="n"/>
      <c r="L341" s="121" t="n"/>
      <c r="M341" s="121" t="n"/>
    </row>
    <row r="342" ht="18.75" customHeight="1" s="215">
      <c r="A342" s="152" t="n"/>
      <c r="B342" s="149" t="n">
        <v>325</v>
      </c>
      <c r="C342" s="223" t="inlineStr">
        <is>
          <t>NFF-325 – ADMINISTRADOR (resumen) - modo oscuro – Título principal: "Buenas tardes" en blanco. Peso bold. Fuente sans-serif.</t>
        </is>
      </c>
      <c r="D342" s="218" t="n"/>
      <c r="E342" s="153" t="n"/>
      <c r="F342" s="55" t="inlineStr">
        <is>
          <t>x</t>
        </is>
      </c>
      <c r="G342" s="55" t="n"/>
      <c r="H342" s="55" t="n"/>
      <c r="I342" s="56" t="n"/>
      <c r="J342" s="121" t="n"/>
      <c r="K342" s="121" t="n"/>
      <c r="L342" s="121" t="n"/>
      <c r="M342" s="121" t="n"/>
    </row>
    <row r="343" ht="18.75" customHeight="1" s="215">
      <c r="A343" s="152" t="n"/>
      <c r="B343" s="149" t="n">
        <v>326</v>
      </c>
      <c r="C343" s="223" t="inlineStr">
        <is>
          <t>NFF-326 – ADMINISTRADOR (resumen) - modo oscuro – Texto descriptivo: "Gestiona tu restaurante..." en gris medio. Alineación a la izquierda.</t>
        </is>
      </c>
      <c r="D343" s="218" t="n"/>
      <c r="E343" s="153" t="n"/>
      <c r="F343" s="55" t="inlineStr">
        <is>
          <t>x</t>
        </is>
      </c>
      <c r="G343" s="55" t="n"/>
      <c r="H343" s="55" t="n"/>
      <c r="I343" s="56" t="n"/>
      <c r="J343" s="121" t="n"/>
      <c r="K343" s="121" t="n"/>
      <c r="L343" s="121" t="n"/>
      <c r="M343" s="121" t="n"/>
    </row>
    <row r="344" ht="18.75" customHeight="1" s="215">
      <c r="A344" s="152" t="n"/>
      <c r="B344" s="149" t="n">
        <v>327</v>
      </c>
      <c r="C344" s="223" t="inlineStr">
        <is>
          <t>NFF-327 – ADMINISTRADOR (resumen) - modo oscuro – Contenedor de tarjeta: Fondo gris oscuro translúcido. Borde gris tenue. Border-radius 12px.</t>
        </is>
      </c>
      <c r="D344" s="218" t="n"/>
      <c r="E344" s="153" t="n"/>
      <c r="F344" s="55" t="inlineStr">
        <is>
          <t>x</t>
        </is>
      </c>
      <c r="G344" s="55" t="n"/>
      <c r="H344" s="55" t="n"/>
      <c r="I344" s="56" t="n"/>
      <c r="J344" s="121" t="n"/>
      <c r="K344" s="121" t="n"/>
      <c r="L344" s="121" t="n"/>
      <c r="M344" s="121" t="n"/>
    </row>
    <row r="345" ht="18.75" customHeight="1" s="215">
      <c r="A345" s="152" t="n"/>
      <c r="B345" s="149" t="n">
        <v>328</v>
      </c>
      <c r="C345" s="223" t="inlineStr">
        <is>
          <t>NFF-328 – ADMINISTRADOR (resumen) - modo oscuro – Valores numéricos: Texto blanco. Tamaño de fuente grande (aprox. 28px). Peso semi-bold.</t>
        </is>
      </c>
      <c r="D345" s="218" t="n"/>
      <c r="E345" s="153" t="n"/>
      <c r="F345" s="55" t="inlineStr">
        <is>
          <t>x</t>
        </is>
      </c>
      <c r="G345" s="55" t="n"/>
      <c r="H345" s="55" t="n"/>
      <c r="I345" s="56" t="n"/>
      <c r="J345" s="121" t="n"/>
      <c r="K345" s="121" t="n"/>
      <c r="L345" s="121" t="n"/>
      <c r="M345" s="121" t="n"/>
    </row>
    <row r="346" ht="18.75" customHeight="1" s="215">
      <c r="A346" s="152" t="n"/>
      <c r="B346" s="149" t="n">
        <v>329</v>
      </c>
      <c r="C346" s="223" t="inlineStr">
        <is>
          <t>NFF-329 – ADMINISTRADOR (resumen) - modo oscuro – Etiquetas de métrica: Texto gris claro ubicado sobre el valor numérico.</t>
        </is>
      </c>
      <c r="D346" s="218" t="n"/>
      <c r="E346" s="153" t="n"/>
      <c r="F346" s="55" t="inlineStr">
        <is>
          <t>x</t>
        </is>
      </c>
      <c r="G346" s="55" t="n"/>
      <c r="H346" s="55" t="n"/>
      <c r="I346" s="56" t="n"/>
      <c r="J346" s="121" t="n"/>
      <c r="K346" s="121" t="n"/>
      <c r="L346" s="121" t="n"/>
      <c r="M346" s="121" t="n"/>
    </row>
    <row r="347" ht="18.75" customHeight="1" s="215">
      <c r="A347" s="152" t="n"/>
      <c r="B347" s="149" t="n">
        <v>330</v>
      </c>
      <c r="C347" s="223" t="inlineStr">
        <is>
          <t>NFF-330 – ADMINISTRADOR (resumen) - modo oscuro – Iconos decorativos: Esquina superior derecha. Contenedores cuadrados redondeados con fondos de baja opacidad (azul, verde, morado).</t>
        </is>
      </c>
      <c r="D347" s="218" t="n"/>
      <c r="E347" s="153" t="n"/>
      <c r="F347" s="55" t="inlineStr">
        <is>
          <t>x</t>
        </is>
      </c>
      <c r="G347" s="55" t="n"/>
      <c r="H347" s="55" t="n"/>
      <c r="I347" s="56" t="n"/>
      <c r="J347" s="121" t="n"/>
      <c r="K347" s="121" t="n"/>
      <c r="L347" s="121" t="n"/>
      <c r="M347" s="121" t="n"/>
    </row>
    <row r="348" ht="18.75" customHeight="1" s="215">
      <c r="A348" s="152" t="n"/>
      <c r="B348" s="149" t="n">
        <v>331</v>
      </c>
      <c r="C348" s="223" t="inlineStr">
        <is>
          <t>NFF-331 – ADMINISTRADOR (resumen) - modo oscuro – Contenedor "Flujo de visitantes": Fondo gris oscuro con borde sutil. Border-radius 12px.</t>
        </is>
      </c>
      <c r="D348" s="218" t="n"/>
      <c r="E348" s="153" t="n"/>
      <c r="F348" s="55" t="inlineStr">
        <is>
          <t>x</t>
        </is>
      </c>
      <c r="G348" s="55" t="n"/>
      <c r="H348" s="55" t="n"/>
      <c r="I348" s="56" t="n"/>
      <c r="J348" s="121" t="n"/>
      <c r="K348" s="121" t="n"/>
      <c r="L348" s="121" t="n"/>
      <c r="M348" s="121" t="n"/>
    </row>
    <row r="349" ht="18.75" customHeight="1" s="215">
      <c r="A349" s="152" t="n"/>
      <c r="B349" s="149" t="n">
        <v>332</v>
      </c>
      <c r="C349" s="223" t="inlineStr">
        <is>
          <t>NFF-332 – ADMINISTRADOR (resumen) - modo oscuro – Barras de datos: Color rojo sólido. Altura delgada. Border-radius 4px. Texto de datos en gris claro a la derecha.</t>
        </is>
      </c>
      <c r="D349" s="218" t="n"/>
      <c r="E349" s="153" t="n"/>
      <c r="F349" s="55" t="inlineStr">
        <is>
          <t>x</t>
        </is>
      </c>
      <c r="G349" s="55" t="n"/>
      <c r="H349" s="55" t="n"/>
      <c r="I349" s="56" t="n"/>
      <c r="J349" s="121" t="n"/>
      <c r="K349" s="121" t="n"/>
      <c r="L349" s="121" t="n"/>
      <c r="M349" s="121" t="n"/>
    </row>
    <row r="350" ht="18.75" customHeight="1" s="215">
      <c r="A350" s="152" t="n"/>
      <c r="B350" s="149" t="n">
        <v>333</v>
      </c>
      <c r="C350" s="223" t="inlineStr">
        <is>
          <t>NFF-333 – ADMINISTRADOR (resumen) - modo oscuro – Contenedor "Acciones rápidas": Misma estética que la tarjeta de flujo.</t>
        </is>
      </c>
      <c r="D350" s="218" t="n"/>
      <c r="E350" s="153" t="n"/>
      <c r="F350" s="55" t="inlineStr">
        <is>
          <t>x</t>
        </is>
      </c>
      <c r="G350" s="55" t="n"/>
      <c r="H350" s="55" t="n"/>
      <c r="I350" s="56" t="n"/>
      <c r="J350" s="121" t="n"/>
      <c r="K350" s="121" t="n"/>
      <c r="L350" s="121" t="n"/>
      <c r="M350" s="121" t="n"/>
    </row>
    <row r="351" ht="18.75" customHeight="1" s="215">
      <c r="A351" s="152" t="n"/>
      <c r="B351" s="149" t="n">
        <v>334</v>
      </c>
      <c r="C351" s="223" t="inlineStr">
        <is>
          <t>NFF-334 – ADMINISTRADOR (resumen) - modo oscuro – Botón principal "Ver reservas de hoy": Fondo rojo intenso. Texto blanco. Border-radius 8px. Peso semi-bold.</t>
        </is>
      </c>
      <c r="D351" s="218" t="n"/>
      <c r="E351" s="153" t="n"/>
      <c r="F351" s="55" t="inlineStr">
        <is>
          <t>x</t>
        </is>
      </c>
      <c r="G351" s="55" t="n"/>
      <c r="H351" s="55" t="n"/>
      <c r="I351" s="56" t="n"/>
      <c r="J351" s="121" t="n"/>
      <c r="K351" s="121" t="n"/>
      <c r="L351" s="121" t="n"/>
      <c r="M351" s="121" t="n"/>
    </row>
    <row r="352" ht="18.75" customHeight="1" s="215">
      <c r="A352" s="152" t="n"/>
      <c r="B352" s="149" t="n">
        <v>335</v>
      </c>
      <c r="C352" s="223" t="inlineStr">
        <is>
          <t>NFF-335 – ADMINISTRADOR (resumen) - modo oscuro – Botones secundarios: Fondo gris muy oscuro (casi negro). Texto blanco. Border-radius 8px.</t>
        </is>
      </c>
      <c r="D352" s="218" t="n"/>
      <c r="E352" s="153" t="n"/>
      <c r="F352" s="55" t="inlineStr">
        <is>
          <t>x</t>
        </is>
      </c>
      <c r="G352" s="55" t="n"/>
      <c r="H352" s="55" t="n"/>
      <c r="I352" s="56" t="n"/>
      <c r="J352" s="121" t="n"/>
      <c r="K352" s="121" t="n"/>
      <c r="L352" s="121" t="n"/>
      <c r="M352" s="121" t="n"/>
    </row>
    <row r="353" ht="18.75" customHeight="1" s="215">
      <c r="A353" s="152" t="n"/>
      <c r="B353" s="149" t="n">
        <v>336</v>
      </c>
      <c r="C353" s="223" t="inlineStr">
        <is>
          <t>NFF-336 – ADMINISTRADOR (mi restaurante) - modo oscuro – Ítem de menú activo "Mi Restaurante": Fondo rojo intenso (#b91c1c). Texto blanco. Border-radius 8px. Icono lineal blanco.</t>
        </is>
      </c>
      <c r="D353" s="218" t="n"/>
      <c r="E353" s="153" t="n"/>
      <c r="F353" s="55" t="inlineStr">
        <is>
          <t>x</t>
        </is>
      </c>
      <c r="G353" s="55" t="n"/>
      <c r="H353" s="55" t="n"/>
      <c r="I353" s="56" t="n"/>
      <c r="J353" s="121" t="n"/>
      <c r="K353" s="121" t="n"/>
      <c r="L353" s="121" t="n"/>
      <c r="M353" s="121" t="n"/>
    </row>
    <row r="354" ht="18.75" customHeight="1" s="215">
      <c r="A354" s="152" t="n"/>
      <c r="B354" s="149" t="n">
        <v>337</v>
      </c>
      <c r="C354" s="223" t="inlineStr">
        <is>
          <t>NFF-337 – ADMINISTRADOR (mi restaurante) - modo oscuro – Indicador de perfil (inferior): Contenedor con fondo gris muy oscuro. Avatar circular naranja con inicial "A" blanca.</t>
        </is>
      </c>
      <c r="D354" s="218" t="n"/>
      <c r="E354" s="153" t="n"/>
      <c r="F354" s="55" t="inlineStr">
        <is>
          <t>x</t>
        </is>
      </c>
      <c r="G354" s="55" t="n"/>
      <c r="H354" s="55" t="n"/>
      <c r="I354" s="56" t="n"/>
      <c r="J354" s="121" t="n"/>
      <c r="K354" s="121" t="n"/>
      <c r="L354" s="121" t="n"/>
      <c r="M354" s="121" t="n"/>
    </row>
    <row r="355" ht="18.75" customHeight="1" s="215">
      <c r="A355" s="152" t="n"/>
      <c r="B355" s="149" t="n">
        <v>338</v>
      </c>
      <c r="C355" s="223" t="inlineStr">
        <is>
          <t>NFF-338 – ADMINISTRADOR (mi restaurante) - modo oscuro – Acción "Cerrar sesión": Texto gris claro al pie de la sidebar con icono de salida.</t>
        </is>
      </c>
      <c r="D355" s="218" t="n"/>
      <c r="E355" s="153" t="n"/>
      <c r="F355" s="55" t="inlineStr">
        <is>
          <t>x</t>
        </is>
      </c>
      <c r="G355" s="55" t="n"/>
      <c r="H355" s="55" t="n"/>
      <c r="I355" s="56" t="n"/>
      <c r="J355" s="121" t="n"/>
      <c r="K355" s="121" t="n"/>
      <c r="L355" s="121" t="n"/>
      <c r="M355" s="121" t="n"/>
    </row>
    <row r="356" ht="18.75" customHeight="1" s="215">
      <c r="A356" s="152" t="n"/>
      <c r="B356" s="149" t="n">
        <v>339</v>
      </c>
      <c r="C356" s="223" t="inlineStr">
        <is>
          <t>NFF-339 – ADMINISTRADOR (mi restaurante) - modo oscuro – Breadcrumb: Texto "Mi Restaurante" en gris claro, tamaño reducido, ubicado sobre el título principal.</t>
        </is>
      </c>
      <c r="D356" s="218" t="n"/>
      <c r="E356" s="153" t="n"/>
      <c r="F356" s="55" t="inlineStr">
        <is>
          <t>x</t>
        </is>
      </c>
      <c r="G356" s="55" t="n"/>
      <c r="H356" s="55" t="n"/>
      <c r="I356" s="56" t="n"/>
      <c r="J356" s="121" t="n"/>
      <c r="K356" s="121" t="n"/>
      <c r="L356" s="121" t="n"/>
      <c r="M356" s="121" t="n"/>
    </row>
    <row r="357" ht="18.75" customHeight="1" s="215">
      <c r="A357" s="152" t="n"/>
      <c r="B357" s="149" t="n">
        <v>340</v>
      </c>
      <c r="C357" s="223" t="inlineStr">
        <is>
          <t>NFF-340 – ADMINISTRADOR (mi restaurante) - modo oscuro – Título principal: "Buenas tardes" en blanco. Peso bold. Fuente sans-serif.</t>
        </is>
      </c>
      <c r="D357" s="218" t="n"/>
      <c r="E357" s="153" t="n"/>
      <c r="F357" s="55" t="inlineStr">
        <is>
          <t>x</t>
        </is>
      </c>
      <c r="G357" s="55" t="n"/>
      <c r="H357" s="55" t="n"/>
      <c r="I357" s="56" t="n"/>
      <c r="J357" s="121" t="n"/>
      <c r="K357" s="121" t="n"/>
      <c r="L357" s="121" t="n"/>
      <c r="M357" s="121" t="n"/>
    </row>
    <row r="358" ht="18.75" customHeight="1" s="215">
      <c r="A358" s="152" t="n"/>
      <c r="B358" s="149" t="n">
        <v>341</v>
      </c>
      <c r="C358" s="223" t="inlineStr">
        <is>
          <t>NFF-341 – ADMINISTRADOR (mi restaurante) - modo oscuro – Textos descriptivos: Color gris medio. Alineación a la izquierda.</t>
        </is>
      </c>
      <c r="D358" s="218" t="n"/>
      <c r="E358" s="153" t="n"/>
      <c r="F358" s="55" t="inlineStr">
        <is>
          <t>x</t>
        </is>
      </c>
      <c r="G358" s="55" t="n"/>
      <c r="H358" s="55" t="n"/>
      <c r="I358" s="56" t="n"/>
      <c r="J358" s="121" t="n"/>
      <c r="K358" s="121" t="n"/>
      <c r="L358" s="121" t="n"/>
      <c r="M358" s="121" t="n"/>
    </row>
    <row r="359" ht="18.75" customHeight="1" s="215">
      <c r="A359" s="152" t="n"/>
      <c r="B359" s="149" t="n">
        <v>342</v>
      </c>
      <c r="C359" s="223" t="inlineStr">
        <is>
          <t>NFF-342 – ADMINISTRADOR (mi restaurante) - modo oscuro – Contenedor principal: Tarjeta con fondo negro/gris muy oscuro. Borde gris fino y sutil. Border-radius 12px.</t>
        </is>
      </c>
      <c r="D359" s="218" t="n"/>
      <c r="E359" s="153" t="n"/>
      <c r="F359" s="55" t="inlineStr">
        <is>
          <t>x</t>
        </is>
      </c>
      <c r="G359" s="55" t="n"/>
      <c r="H359" s="55" t="n"/>
      <c r="I359" s="56" t="n"/>
      <c r="J359" s="121" t="n"/>
      <c r="K359" s="121" t="n"/>
      <c r="L359" s="121" t="n"/>
      <c r="M359" s="121" t="n"/>
    </row>
    <row r="360" ht="18.75" customHeight="1" s="215">
      <c r="A360" s="152" t="n"/>
      <c r="B360" s="149" t="n">
        <v>343</v>
      </c>
      <c r="C360" s="223" t="inlineStr">
        <is>
          <t>NFF-343 – ADMINISTRADOR (mi restaurante) - modo oscuro – Nombre del restaurante: Texto "restaurante de prueba" en blanco. Peso semi-bold.</t>
        </is>
      </c>
      <c r="D360" s="218" t="n"/>
      <c r="E360" s="153" t="n"/>
      <c r="F360" s="55" t="inlineStr">
        <is>
          <t>x</t>
        </is>
      </c>
      <c r="G360" s="55" t="n"/>
      <c r="H360" s="55" t="n"/>
      <c r="I360" s="56" t="n"/>
      <c r="J360" s="121" t="n"/>
      <c r="K360" s="121" t="n"/>
      <c r="L360" s="121" t="n"/>
      <c r="M360" s="121" t="n"/>
    </row>
    <row r="361" ht="18.75" customHeight="1" s="215">
      <c r="A361" s="152" t="n"/>
      <c r="B361" s="149" t="n">
        <v>344</v>
      </c>
      <c r="C361" s="223" t="inlineStr">
        <is>
          <t>NFF-344 – ADMINISTRADOR (mi restaurante) - modo oscuro – Dato de identificación (NIT): Texto en gris medio debajo del nombre.</t>
        </is>
      </c>
      <c r="D361" s="218" t="n"/>
      <c r="E361" s="153" t="n"/>
      <c r="F361" s="55" t="inlineStr">
        <is>
          <t>x</t>
        </is>
      </c>
      <c r="G361" s="55" t="n"/>
      <c r="H361" s="55" t="n"/>
      <c r="I361" s="56" t="n"/>
      <c r="J361" s="121" t="n"/>
      <c r="K361" s="121" t="n"/>
      <c r="L361" s="121" t="n"/>
      <c r="M361" s="121" t="n"/>
    </row>
    <row r="362" ht="18.75" customHeight="1" s="215">
      <c r="A362" s="152" t="n"/>
      <c r="B362" s="149" t="n">
        <v>345</v>
      </c>
      <c r="C362" s="223" t="inlineStr">
        <is>
          <t>NFF-345 – ADMINISTRADOR (mi restaurante) - modo oscuro – Botón "Configurar restaurante": Fondo gris muy oscuro/negro. Borde delgado gris claro. Texto blanco. Border-radius 8px.</t>
        </is>
      </c>
      <c r="D362" s="218" t="n"/>
      <c r="E362" s="153" t="n"/>
      <c r="F362" s="55" t="inlineStr">
        <is>
          <t>x</t>
        </is>
      </c>
      <c r="G362" s="55" t="n"/>
      <c r="H362" s="55" t="n"/>
      <c r="I362" s="56" t="n"/>
      <c r="J362" s="121" t="n"/>
      <c r="K362" s="121" t="n"/>
      <c r="L362" s="121" t="n"/>
      <c r="M362" s="121" t="n"/>
    </row>
    <row r="363" ht="18.75" customHeight="1" s="215">
      <c r="A363" s="152" t="n"/>
      <c r="B363" s="149" t="n">
        <v>346</v>
      </c>
      <c r="C363" s="223" t="inlineStr">
        <is>
          <t>NFF-346 – ADMINISTRADOR (mi restaurante) - modo oscuro – Fondo de la aplicación: Color negro/gris carbón muy oscuro (#0a0a0a aprox.).</t>
        </is>
      </c>
      <c r="D363" s="218" t="n"/>
      <c r="E363" s="153" t="n"/>
      <c r="F363" s="55" t="inlineStr">
        <is>
          <t>x</t>
        </is>
      </c>
      <c r="G363" s="55" t="n"/>
      <c r="H363" s="55" t="n"/>
      <c r="I363" s="56" t="n"/>
      <c r="J363" s="121" t="n"/>
      <c r="K363" s="121" t="n"/>
      <c r="L363" s="121" t="n"/>
      <c r="M363" s="121" t="n"/>
    </row>
    <row r="364" ht="18.75" customHeight="1" s="215">
      <c r="A364" s="152" t="n"/>
      <c r="B364" s="149" t="n">
        <v>347</v>
      </c>
      <c r="C364" s="223" t="inlineStr">
        <is>
          <t>NFF-347 – ADMINISTRADOR (mi restaurante) - modo oscuro – Consistencia: Mantiene el uso de rojo intenso para estados activos y gris para elementos secundarios sobre fondo oscuro.</t>
        </is>
      </c>
      <c r="D364" s="218" t="n"/>
      <c r="E364" s="153" t="n"/>
      <c r="F364" s="55" t="inlineStr">
        <is>
          <t>x</t>
        </is>
      </c>
      <c r="G364" s="55" t="n"/>
      <c r="H364" s="55" t="n"/>
      <c r="I364" s="56" t="n"/>
      <c r="J364" s="121" t="n"/>
      <c r="K364" s="121" t="n"/>
      <c r="L364" s="121" t="n"/>
      <c r="M364" s="121" t="n"/>
    </row>
    <row r="365" ht="18.75" customHeight="1" s="215">
      <c r="A365" s="152" t="n"/>
      <c r="B365" s="149" t="n">
        <v>348</v>
      </c>
      <c r="C365" s="223" t="inlineStr">
        <is>
          <t>NFF-348 – ADMINISTRADOR (facturas) - modo oscuro – Ítem de menú activo (Facturas): Fondo rojo oscuro (#991b1b). Texto blanco puro. Borde izquierdo rojo brillante. Border-radius 8px.</t>
        </is>
      </c>
      <c r="D365" s="218" t="n"/>
      <c r="E365" s="153" t="n"/>
      <c r="F365" s="55" t="inlineStr">
        <is>
          <t>x</t>
        </is>
      </c>
      <c r="G365" s="55" t="n"/>
      <c r="H365" s="55" t="n"/>
      <c r="I365" s="56" t="n"/>
      <c r="J365" s="121" t="n"/>
      <c r="K365" s="121" t="n"/>
      <c r="L365" s="121" t="n"/>
      <c r="M365" s="121" t="n"/>
    </row>
    <row r="366" ht="18.75" customHeight="1" s="215">
      <c r="A366" s="152" t="n"/>
      <c r="B366" s="149" t="n">
        <v>349</v>
      </c>
      <c r="C366" s="223" t="inlineStr">
        <is>
          <t>NFF-349 – ADMINISTRADOR (facturas) - modo oscuro – Iconos de menú: Estilo lineal en color gris claro.</t>
        </is>
      </c>
      <c r="D366" s="218" t="n"/>
      <c r="E366" s="153" t="n"/>
      <c r="F366" s="55" t="inlineStr">
        <is>
          <t>x</t>
        </is>
      </c>
      <c r="G366" s="55" t="n"/>
      <c r="H366" s="55" t="n"/>
      <c r="I366" s="56" t="n"/>
      <c r="J366" s="121" t="n"/>
      <c r="K366" s="121" t="n"/>
      <c r="L366" s="121" t="n"/>
      <c r="M366" s="121" t="n"/>
    </row>
    <row r="367" ht="18.75" customHeight="1" s="215">
      <c r="A367" s="152" t="n"/>
      <c r="B367" s="149" t="n">
        <v>350</v>
      </c>
      <c r="C367" s="223" t="inlineStr">
        <is>
          <t>NFF-350 – ADMINISTRADOR (facturas) - modo oscuro – Sección de perfil: Contenedor inferior con fondo gris muy oscuro. Avatar naranja con inicial "A" blanca.</t>
        </is>
      </c>
      <c r="D367" s="218" t="n"/>
      <c r="E367" s="153" t="n"/>
      <c r="F367" s="55" t="inlineStr">
        <is>
          <t>x</t>
        </is>
      </c>
      <c r="G367" s="55" t="n"/>
      <c r="H367" s="55" t="n"/>
      <c r="I367" s="56" t="n"/>
      <c r="J367" s="121" t="n"/>
      <c r="K367" s="121" t="n"/>
      <c r="L367" s="121" t="n"/>
      <c r="M367" s="121" t="n"/>
    </row>
    <row r="368" ht="18.75" customHeight="1" s="215">
      <c r="A368" s="152" t="n"/>
      <c r="B368" s="149" t="n">
        <v>351</v>
      </c>
      <c r="C368" s="223" t="inlineStr">
        <is>
          <t>NFF-351 – ADMINISTRADOR (facturas) - modo oscuro – Indicador de sección (Breadcrumb): Texto "Facturación" en gris claro, tamaño pequeño, ubicado sobre el título principal.</t>
        </is>
      </c>
      <c r="D368" s="218" t="n"/>
      <c r="E368" s="153" t="n"/>
      <c r="F368" s="55" t="inlineStr">
        <is>
          <t>x</t>
        </is>
      </c>
      <c r="G368" s="55" t="n"/>
      <c r="H368" s="55" t="n"/>
      <c r="I368" s="56" t="n"/>
      <c r="J368" s="121" t="n"/>
      <c r="K368" s="121" t="n"/>
      <c r="L368" s="121" t="n"/>
      <c r="M368" s="121" t="n"/>
    </row>
    <row r="369" ht="18.75" customHeight="1" s="215">
      <c r="A369" s="152" t="n"/>
      <c r="B369" s="149" t="n">
        <v>352</v>
      </c>
      <c r="C369" s="223" t="inlineStr">
        <is>
          <t>NFF-352 – ADMINISTRADOR (facturas) - modo oscuro – Título principal: "Buenas tardes" en blanco. Peso bold. Fuente sans-serif.</t>
        </is>
      </c>
      <c r="D369" s="218" t="n"/>
      <c r="E369" s="153" t="n"/>
      <c r="F369" s="55" t="inlineStr">
        <is>
          <t>x</t>
        </is>
      </c>
      <c r="G369" s="55" t="n"/>
      <c r="H369" s="55" t="n"/>
      <c r="I369" s="56" t="n"/>
      <c r="J369" s="121" t="n"/>
      <c r="K369" s="121" t="n"/>
      <c r="L369" s="121" t="n"/>
      <c r="M369" s="121" t="n"/>
    </row>
    <row r="370" ht="18.75" customHeight="1" s="215">
      <c r="A370" s="152" t="n"/>
      <c r="B370" s="149" t="n">
        <v>353</v>
      </c>
      <c r="C370" s="223" t="inlineStr">
        <is>
          <t>NFF-353 – ADMINISTRADOR (facturas) - modo oscuro – Contador de elementos: Texto "0 facturas" en gris medio posicionado sobre el margen de la tarjeta principal.</t>
        </is>
      </c>
      <c r="D370" s="218" t="n"/>
      <c r="E370" s="153" t="n"/>
      <c r="F370" s="55" t="inlineStr">
        <is>
          <t>x</t>
        </is>
      </c>
      <c r="G370" s="55" t="n"/>
      <c r="H370" s="55" t="n"/>
      <c r="I370" s="56" t="n"/>
      <c r="J370" s="121" t="n"/>
      <c r="K370" s="121" t="n"/>
      <c r="L370" s="121" t="n"/>
      <c r="M370" s="121" t="n"/>
    </row>
    <row r="371" ht="18.75" customHeight="1" s="215">
      <c r="A371" s="152" t="n"/>
      <c r="B371" s="149" t="n">
        <v>354</v>
      </c>
      <c r="C371" s="223" t="inlineStr">
        <is>
          <t>NFF-354 – ADMINISTRADOR (facturas) - modo oscuro – Contenedor de tarjeta: Fondo negro/gris carbón. Borde delgado gris oscuro. Border-radius 12px.</t>
        </is>
      </c>
      <c r="D371" s="218" t="n"/>
      <c r="E371" s="153" t="n"/>
      <c r="F371" s="55" t="inlineStr">
        <is>
          <t>x</t>
        </is>
      </c>
      <c r="G371" s="55" t="n"/>
      <c r="H371" s="55" t="n"/>
      <c r="I371" s="56" t="n"/>
      <c r="J371" s="121" t="n"/>
      <c r="K371" s="121" t="n"/>
      <c r="L371" s="121" t="n"/>
      <c r="M371" s="121" t="n"/>
    </row>
    <row r="372" ht="18.75" customHeight="1" s="215">
      <c r="A372" s="152" t="n"/>
      <c r="B372" s="149" t="n">
        <v>355</v>
      </c>
      <c r="C372" s="223" t="inlineStr">
        <is>
          <t>NFF-355 – ADMINISTRADOR (facturas) - modo oscuro – Encabezado de tarjeta: Título "Facturas recientes" en blanco (semi-bold) y descripción en gris medio.</t>
        </is>
      </c>
      <c r="D372" s="218" t="n"/>
      <c r="E372" s="153" t="n"/>
      <c r="F372" s="55" t="inlineStr">
        <is>
          <t>x</t>
        </is>
      </c>
      <c r="G372" s="55" t="n"/>
      <c r="H372" s="55" t="n"/>
      <c r="I372" s="56" t="n"/>
      <c r="J372" s="121" t="n"/>
      <c r="K372" s="121" t="n"/>
      <c r="L372" s="121" t="n"/>
      <c r="M372" s="121" t="n"/>
    </row>
    <row r="373" ht="18.75" customHeight="1" s="215">
      <c r="A373" s="152" t="n"/>
      <c r="B373" s="149" t="n">
        <v>356</v>
      </c>
      <c r="C373" s="223" t="inlineStr">
        <is>
          <t>NFF-356 – ADMINISTRADOR (facturas) - modo oscuro – Fila de etiquetas (Header): Texto en gris claro/medio. Peso semi-bold. Columnas: Número, Restaurante, Monto, Fecha, Vencimiento, Estado, Acciones.</t>
        </is>
      </c>
      <c r="D373" s="218" t="n"/>
      <c r="E373" s="153" t="n"/>
      <c r="F373" s="55" t="inlineStr">
        <is>
          <t>x</t>
        </is>
      </c>
      <c r="G373" s="55" t="n"/>
      <c r="H373" s="55" t="n"/>
      <c r="I373" s="56" t="n"/>
      <c r="J373" s="121" t="n"/>
      <c r="K373" s="121" t="n"/>
      <c r="L373" s="121" t="n"/>
      <c r="M373" s="121" t="n"/>
    </row>
    <row r="374" ht="18.75" customHeight="1" s="215">
      <c r="A374" s="152" t="n"/>
      <c r="B374" s="149" t="n">
        <v>357</v>
      </c>
      <c r="C374" s="223" t="inlineStr">
        <is>
          <t>NFF-357 – ADMINISTRADOR (facturas) - modo oscuro – Cuerpo de tabla: Área de contenido vacía con fondo negro uniforme.</t>
        </is>
      </c>
      <c r="D374" s="218" t="n"/>
      <c r="E374" s="153" t="n"/>
      <c r="F374" s="55" t="inlineStr">
        <is>
          <t>x</t>
        </is>
      </c>
      <c r="G374" s="55" t="n"/>
      <c r="H374" s="55" t="n"/>
      <c r="I374" s="56" t="n"/>
      <c r="J374" s="121" t="n"/>
      <c r="K374" s="121" t="n"/>
      <c r="L374" s="121" t="n"/>
      <c r="M374" s="121" t="n"/>
    </row>
    <row r="375" ht="18.75" customHeight="1" s="215">
      <c r="A375" s="152" t="n"/>
      <c r="B375" s="149" t="n">
        <v>358</v>
      </c>
      <c r="C375" s="223" t="inlineStr">
        <is>
          <t>NFF-358 – ADMINISTRADOR (facturas) - modo oscuro – Fondo de aplicación: Color negro sólido (#0a0a0a aprox.).</t>
        </is>
      </c>
      <c r="D375" s="218" t="n"/>
      <c r="E375" s="153" t="n"/>
      <c r="F375" s="55" t="inlineStr">
        <is>
          <t>x</t>
        </is>
      </c>
      <c r="G375" s="55" t="n"/>
      <c r="H375" s="55" t="n"/>
      <c r="I375" s="56" t="n"/>
      <c r="J375" s="121" t="n"/>
      <c r="K375" s="121" t="n"/>
      <c r="L375" s="121" t="n"/>
      <c r="M375" s="121" t="n"/>
    </row>
    <row r="376" ht="18.75" customHeight="1" s="215">
      <c r="A376" s="152" t="n"/>
      <c r="B376" s="149" t="n">
        <v>359</v>
      </c>
      <c r="C376" s="223" t="inlineStr">
        <is>
          <t>NFF-359 – ADMINISTRADOR (facturas) - modo oscuro – Jerarquía visual: Uso de blanco para títulos principales, gris para descripciones y rojo para estados de navegación activa.</t>
        </is>
      </c>
      <c r="D376" s="218" t="n"/>
      <c r="E376" s="153" t="n"/>
      <c r="F376" s="55" t="inlineStr">
        <is>
          <t>x</t>
        </is>
      </c>
      <c r="G376" s="55" t="n"/>
      <c r="H376" s="55" t="n"/>
      <c r="I376" s="56" t="n"/>
      <c r="J376" s="121" t="n"/>
      <c r="K376" s="121" t="n"/>
      <c r="L376" s="121" t="n"/>
      <c r="M376" s="121" t="n"/>
    </row>
    <row r="377" ht="18.75" customHeight="1" s="215">
      <c r="A377" s="152" t="n"/>
      <c r="B377" s="149" t="n">
        <v>360</v>
      </c>
      <c r="C377" s="223" t="inlineStr">
        <is>
          <t>NFF-360 – ADMINISTRADOR (flujo diario) - modo oscuro – Indicador de sección (Breadcrumb): Texto "Flujo diario" en gris claro, tamaño pequeño, ubicado sobre el título principal.</t>
        </is>
      </c>
      <c r="D377" s="218" t="n"/>
      <c r="E377" s="153" t="n"/>
      <c r="F377" s="55" t="inlineStr">
        <is>
          <t>x</t>
        </is>
      </c>
      <c r="G377" s="55" t="n"/>
      <c r="H377" s="55" t="n"/>
      <c r="I377" s="56" t="n"/>
      <c r="J377" s="121" t="n"/>
      <c r="K377" s="121" t="n"/>
      <c r="L377" s="121" t="n"/>
      <c r="M377" s="121" t="n"/>
    </row>
    <row r="378" ht="18.75" customHeight="1" s="215">
      <c r="A378" s="152" t="n"/>
      <c r="B378" s="149" t="n">
        <v>361</v>
      </c>
      <c r="C378" s="223" t="inlineStr">
        <is>
          <t>NFF-361 – ADMINISTRADOR (flujo diario) - modo oscuro – Título principal: "Buenas tardes" en blanco puro, peso bold, fuente sans-serif.</t>
        </is>
      </c>
      <c r="D378" s="218" t="n"/>
      <c r="E378" s="153" t="n"/>
      <c r="F378" s="55" t="inlineStr">
        <is>
          <t>x</t>
        </is>
      </c>
      <c r="G378" s="55" t="n"/>
      <c r="H378" s="55" t="n"/>
      <c r="I378" s="56" t="n"/>
      <c r="J378" s="121" t="n"/>
      <c r="K378" s="121" t="n"/>
      <c r="L378" s="121" t="n"/>
      <c r="M378" s="121" t="n"/>
    </row>
    <row r="379" ht="18.75" customHeight="1" s="215">
      <c r="A379" s="152" t="n"/>
      <c r="B379" s="149" t="n">
        <v>362</v>
      </c>
      <c r="C379" s="223" t="inlineStr">
        <is>
          <t>NFF-362 – ADMINISTRADOR (flujo diario) - modo oscuro – Subtítulo de vista: "Flujo diario / Análisis de clientes por hora" en gris medio, alineado a la izquierda.</t>
        </is>
      </c>
      <c r="D379" s="218" t="n"/>
      <c r="E379" s="153" t="n"/>
      <c r="F379" s="55" t="inlineStr">
        <is>
          <t>x</t>
        </is>
      </c>
      <c r="G379" s="55" t="n"/>
      <c r="H379" s="55" t="n"/>
      <c r="I379" s="56" t="n"/>
      <c r="J379" s="121" t="n"/>
      <c r="K379" s="121" t="n"/>
      <c r="L379" s="121" t="n"/>
      <c r="M379" s="121" t="n"/>
    </row>
    <row r="380" ht="18.75" customHeight="1" s="215">
      <c r="A380" s="152" t="n"/>
      <c r="B380" s="149" t="n">
        <v>363</v>
      </c>
      <c r="C380" s="223" t="inlineStr">
        <is>
          <t>NFF-363 – ADMINISTRADOR (flujo diario) - modo oscuro – Contenedor de tarjeta: Fondo gris carbón muy oscuro. Borde delgado gris. Border-radius 12px.</t>
        </is>
      </c>
      <c r="D380" s="218" t="n"/>
      <c r="E380" s="153" t="n"/>
      <c r="F380" s="55" t="inlineStr">
        <is>
          <t>x</t>
        </is>
      </c>
      <c r="G380" s="55" t="n"/>
      <c r="H380" s="55" t="n"/>
      <c r="I380" s="56" t="n"/>
      <c r="J380" s="121" t="n"/>
      <c r="K380" s="121" t="n"/>
      <c r="L380" s="121" t="n"/>
      <c r="M380" s="121" t="n"/>
    </row>
    <row r="381" ht="18.75" customHeight="1" s="215">
      <c r="A381" s="152" t="n"/>
      <c r="B381" s="149" t="n">
        <v>364</v>
      </c>
      <c r="C381" s="223" t="inlineStr">
        <is>
          <t>NFF-364 – ADMINISTRADOR (flujo diario) - modo oscuro – Títulos de métricas: Texto "Total clientes", "Con reserva" y "Sin reserva" en gris claro.</t>
        </is>
      </c>
      <c r="D381" s="218" t="n"/>
      <c r="E381" s="153" t="n"/>
      <c r="F381" s="55" t="inlineStr">
        <is>
          <t>x</t>
        </is>
      </c>
      <c r="G381" s="55" t="n"/>
      <c r="H381" s="55" t="n"/>
      <c r="I381" s="56" t="n"/>
      <c r="J381" s="121" t="n"/>
      <c r="K381" s="121" t="n"/>
      <c r="L381" s="121" t="n"/>
      <c r="M381" s="121" t="n"/>
    </row>
    <row r="382" ht="18.75" customHeight="1" s="215">
      <c r="A382" s="152" t="n"/>
      <c r="B382" s="149" t="n">
        <v>365</v>
      </c>
      <c r="C382" s="223" t="inlineStr">
        <is>
          <t>NFF-365 – ADMINISTRADOR (flujo diario) - modo oscuro – Cifras principales: Número "0" en blanco, tamaño de fuente grande (aprox. 28px), peso bold.</t>
        </is>
      </c>
      <c r="D382" s="218" t="n"/>
      <c r="E382" s="153" t="n"/>
      <c r="F382" s="55" t="inlineStr">
        <is>
          <t>x</t>
        </is>
      </c>
      <c r="G382" s="55" t="n"/>
      <c r="H382" s="55" t="n"/>
      <c r="I382" s="56" t="n"/>
      <c r="J382" s="121" t="n"/>
      <c r="K382" s="121" t="n"/>
      <c r="L382" s="121" t="n"/>
      <c r="M382" s="121" t="n"/>
    </row>
    <row r="383" ht="18.75" customHeight="1" s="215">
      <c r="A383" s="152" t="n"/>
      <c r="B383" s="149" t="n">
        <v>366</v>
      </c>
      <c r="C383" s="223" t="inlineStr">
        <is>
          <t>NFF-366 – ADMINISTRADOR (flujo diario) - modo oscuro – Etiquetas inferiores: Texto "Hasta ahora" y "0% del total" en gris medio, debajo de las cifras.</t>
        </is>
      </c>
      <c r="D383" s="218" t="n"/>
      <c r="E383" s="153" t="n"/>
      <c r="F383" s="55" t="inlineStr">
        <is>
          <t>x</t>
        </is>
      </c>
      <c r="G383" s="55" t="n"/>
      <c r="H383" s="55" t="n"/>
      <c r="I383" s="56" t="n"/>
      <c r="J383" s="121" t="n"/>
      <c r="K383" s="121" t="n"/>
      <c r="L383" s="121" t="n"/>
      <c r="M383" s="121" t="n"/>
    </row>
    <row r="384" ht="18.75" customHeight="1" s="215">
      <c r="A384" s="152" t="n"/>
      <c r="B384" s="149" t="n">
        <v>367</v>
      </c>
      <c r="C384" s="223" t="inlineStr">
        <is>
          <t>NFF-367 – ADMINISTRADOR (flujo diario) - modo oscuro – Subtítulo de vista: "Flujo diario / Análisis de clientes por hora" en gris medio, alineado a la izquierda.</t>
        </is>
      </c>
      <c r="D384" s="218" t="n"/>
      <c r="E384" s="153" t="n"/>
      <c r="F384" s="55" t="inlineStr">
        <is>
          <t>x</t>
        </is>
      </c>
      <c r="G384" s="55" t="n"/>
      <c r="H384" s="55" t="n"/>
      <c r="I384" s="56" t="n"/>
      <c r="J384" s="121" t="n"/>
      <c r="K384" s="121" t="n"/>
      <c r="L384" s="121" t="n"/>
      <c r="M384" s="121" t="n"/>
    </row>
    <row r="385" ht="18.75" customHeight="1" s="215">
      <c r="A385" s="152" t="n"/>
      <c r="B385" s="149" t="n">
        <v>368</v>
      </c>
      <c r="C385" s="223" t="inlineStr">
        <is>
          <t>NFF-368 – ADMINISTRADOR (flujo diario) - modo oscuro – Tarjeta de detalle de flujo (gráfico): Fondo gris muy oscuro. Border-radius 12px. Borde perimetral sutil.</t>
        </is>
      </c>
      <c r="D385" s="218" t="n"/>
      <c r="E385" s="153" t="n"/>
      <c r="F385" s="55" t="inlineStr">
        <is>
          <t>x</t>
        </is>
      </c>
      <c r="G385" s="55" t="n"/>
      <c r="H385" s="55" t="n"/>
      <c r="I385" s="56" t="n"/>
      <c r="J385" s="121" t="n"/>
      <c r="K385" s="121" t="n"/>
      <c r="L385" s="121" t="n"/>
      <c r="M385" s="121" t="n"/>
    </row>
    <row r="386" ht="18.75" customHeight="1" s="215">
      <c r="A386" s="152" t="n"/>
      <c r="B386" s="149" t="n">
        <v>369</v>
      </c>
      <c r="C386" s="223" t="inlineStr">
        <is>
          <t>NFF-369 – ADMINISTRADOR (flujo diario) - modo oscuro – Títulos de contenedor de detalle: "Flujo por horas" en blanco y subtítulo descriptivo en gris medio.</t>
        </is>
      </c>
      <c r="D386" s="218" t="n"/>
      <c r="E386" s="153" t="n"/>
      <c r="F386" s="55" t="inlineStr">
        <is>
          <t>x</t>
        </is>
      </c>
      <c r="G386" s="55" t="n"/>
      <c r="H386" s="55" t="n"/>
      <c r="I386" s="56" t="n"/>
      <c r="J386" s="121" t="n"/>
      <c r="K386" s="121" t="n"/>
      <c r="L386" s="121" t="n"/>
      <c r="M386" s="121" t="n"/>
    </row>
    <row r="387" ht="18.75" customHeight="1" s="215">
      <c r="A387" s="152" t="n"/>
      <c r="B387" s="149" t="n">
        <v>370</v>
      </c>
      <c r="C387" s="223" t="inlineStr">
        <is>
          <t>NFF-370 – ADMINISTRADOR (flujo diario) - modo oscuro – Aviso de datos vacíos: Texto "No hay datos de flujo diario." en gris medio, centrado horizontal y verticalmente.</t>
        </is>
      </c>
      <c r="D387" s="218" t="n"/>
      <c r="E387" s="153" t="n"/>
      <c r="F387" s="55" t="inlineStr">
        <is>
          <t>x</t>
        </is>
      </c>
      <c r="G387" s="55" t="n"/>
      <c r="H387" s="55" t="n"/>
      <c r="I387" s="56" t="n"/>
      <c r="J387" s="121" t="n"/>
      <c r="K387" s="121" t="n"/>
      <c r="L387" s="121" t="n"/>
      <c r="M387" s="121" t="n"/>
    </row>
    <row r="388" ht="18.75" customHeight="1" s="215">
      <c r="A388" s="152" t="n"/>
      <c r="B388" s="149" t="n">
        <v>371</v>
      </c>
      <c r="C388" s="223" t="inlineStr">
        <is>
          <t>NFF-371 – ADMINISTRADOR (flujo diario) - modo oscuro – Ítem activo "Flujo diario" (Sidebar): Fondo rojo oscuro (#991b1b). Texto blanco. Borde izquierdo rojo brillante. Border-radius 8px.</t>
        </is>
      </c>
      <c r="D388" s="218" t="n"/>
      <c r="E388" s="153" t="n"/>
      <c r="F388" s="55" t="inlineStr">
        <is>
          <t>x</t>
        </is>
      </c>
      <c r="G388" s="55" t="n"/>
      <c r="H388" s="55" t="n"/>
      <c r="I388" s="56" t="n"/>
      <c r="J388" s="121" t="n"/>
      <c r="K388" s="121" t="n"/>
      <c r="L388" s="121" t="n"/>
      <c r="M388" s="121" t="n"/>
    </row>
    <row r="389" ht="18.75" customHeight="1" s="215">
      <c r="A389" s="152" t="n"/>
      <c r="B389" s="149" t="n">
        <v>372</v>
      </c>
      <c r="C389" s="223" t="inlineStr">
        <is>
          <t>NFF-372 – ADMINISTRADOR (flujo diario) - modo oscuro – Bloque de perfil de usuario: Fondo gris muy oscuro. Avatar naranja circular con inicial "A" blanca.</t>
        </is>
      </c>
      <c r="D389" s="218" t="n"/>
      <c r="E389" s="153" t="n"/>
      <c r="F389" s="55" t="inlineStr">
        <is>
          <t>x</t>
        </is>
      </c>
      <c r="G389" s="55" t="n"/>
      <c r="H389" s="55" t="n"/>
      <c r="I389" s="56" t="n"/>
      <c r="J389" s="121" t="n"/>
      <c r="K389" s="121" t="n"/>
      <c r="L389" s="121" t="n"/>
      <c r="M389" s="121" t="n"/>
    </row>
    <row r="390" ht="18.75" customHeight="1" s="215">
      <c r="A390" s="152" t="n"/>
      <c r="B390" s="149" t="n">
        <v>373</v>
      </c>
      <c r="C390" s="223" t="inlineStr">
        <is>
          <t>NFF-373 – ADMINISTRADOR (flujo diario) - modo oscuro – Fondo general de la interfaz: Color negro sólido (#0a0a0a).</t>
        </is>
      </c>
      <c r="D390" s="218" t="n"/>
      <c r="E390" s="153" t="n"/>
      <c r="F390" s="55" t="inlineStr">
        <is>
          <t>x</t>
        </is>
      </c>
      <c r="G390" s="55" t="n"/>
      <c r="H390" s="55" t="n"/>
      <c r="I390" s="56" t="n"/>
      <c r="J390" s="121" t="n"/>
      <c r="K390" s="121" t="n"/>
      <c r="L390" s="121" t="n"/>
      <c r="M390" s="121" t="n"/>
    </row>
    <row r="391" ht="18.75" customHeight="1" s="215">
      <c r="A391" s="152" t="n"/>
      <c r="B391" s="149" t="n">
        <v>374</v>
      </c>
      <c r="C391" s="223" t="inlineStr">
        <is>
          <t>NFF-374 – ADMINISTRADOR (clientes) - modo oscuro – Indicador de sección (Breadcrumb): Texto "Clientes" en gris claro, tamaño pequeño, ubicado sobre el título principal.</t>
        </is>
      </c>
      <c r="D391" s="218" t="n"/>
      <c r="E391" s="153" t="n"/>
      <c r="F391" s="55" t="inlineStr">
        <is>
          <t>x</t>
        </is>
      </c>
      <c r="G391" s="55" t="n"/>
      <c r="H391" s="55" t="n"/>
      <c r="I391" s="56" t="n"/>
      <c r="J391" s="121" t="n"/>
      <c r="K391" s="121" t="n"/>
      <c r="L391" s="121" t="n"/>
      <c r="M391" s="121" t="n"/>
    </row>
    <row r="392" ht="18.75" customHeight="1" s="215">
      <c r="A392" s="152" t="n"/>
      <c r="B392" s="149" t="n">
        <v>375</v>
      </c>
      <c r="C392" s="223" t="inlineStr">
        <is>
          <t>NFF-375 – ADMINISTRADOR (clientes) - modo oscuro – Título principal: "Buenas tardes" en blanco puro, peso bold, fuente sans-serif.</t>
        </is>
      </c>
      <c r="D392" s="218" t="n"/>
      <c r="E392" s="153" t="n"/>
      <c r="F392" s="55" t="inlineStr">
        <is>
          <t>x</t>
        </is>
      </c>
      <c r="G392" s="55" t="n"/>
      <c r="H392" s="55" t="n"/>
      <c r="I392" s="56" t="n"/>
      <c r="J392" s="121" t="n"/>
      <c r="K392" s="121" t="n"/>
      <c r="L392" s="121" t="n"/>
      <c r="M392" s="121" t="n"/>
    </row>
    <row r="393" ht="18.75" customHeight="1" s="215">
      <c r="A393" s="152" t="n"/>
      <c r="B393" s="149" t="n">
        <v>376</v>
      </c>
      <c r="C393" s="223" t="inlineStr">
        <is>
          <t>NFF-376 – ADMINISTRADOR (clientes) - modo oscuro – Texto descriptivo: "Gestiona tu restaurante..." en gris medio, alineado a la izquierda.</t>
        </is>
      </c>
      <c r="D393" s="218" t="n"/>
      <c r="E393" s="153" t="n"/>
      <c r="F393" s="55" t="inlineStr">
        <is>
          <t>x</t>
        </is>
      </c>
      <c r="G393" s="55" t="n"/>
      <c r="H393" s="55" t="n"/>
      <c r="I393" s="56" t="n"/>
      <c r="J393" s="121" t="n"/>
      <c r="K393" s="121" t="n"/>
      <c r="L393" s="121" t="n"/>
      <c r="M393" s="121" t="n"/>
    </row>
    <row r="394" ht="18.75" customHeight="1" s="215">
      <c r="A394" s="152" t="n"/>
      <c r="B394" s="149" t="n">
        <v>377</v>
      </c>
      <c r="C394" s="223" t="inlineStr">
        <is>
          <t>NFF-377 – ADMINISTRADOR (clientes) - modo oscuro – Contador de registros: Texto "1 cliente" en gris, fuente pequeña, ubicado sobre el margen superior de la tabla.</t>
        </is>
      </c>
      <c r="D394" s="218" t="n"/>
      <c r="E394" s="153" t="n"/>
      <c r="F394" s="55" t="inlineStr">
        <is>
          <t>x</t>
        </is>
      </c>
      <c r="G394" s="55" t="n"/>
      <c r="H394" s="55" t="n"/>
      <c r="I394" s="56" t="n"/>
      <c r="J394" s="121" t="n"/>
      <c r="K394" s="121" t="n"/>
      <c r="L394" s="121" t="n"/>
      <c r="M394" s="121" t="n"/>
    </row>
    <row r="395" ht="18.75" customHeight="1" s="215">
      <c r="A395" s="152" t="n"/>
      <c r="B395" s="149" t="n">
        <v>378</v>
      </c>
      <c r="C395" s="223" t="inlineStr">
        <is>
          <t>NFF-378 – ADMINISTRADOR (clientes) - modo oscuro – Contenedor de tabla principal: Fondo gris carbón muy oscuro, borde delgado gris y border-radius de 12px.</t>
        </is>
      </c>
      <c r="D395" s="218" t="n"/>
      <c r="E395" s="153" t="n"/>
      <c r="F395" s="55" t="inlineStr">
        <is>
          <t>x</t>
        </is>
      </c>
      <c r="G395" s="55" t="n"/>
      <c r="H395" s="55" t="n"/>
      <c r="I395" s="56" t="n"/>
      <c r="J395" s="121" t="n"/>
      <c r="K395" s="121" t="n"/>
      <c r="L395" s="121" t="n"/>
      <c r="M395" s="121" t="n"/>
    </row>
    <row r="396" ht="18.75" customHeight="1" s="215">
      <c r="A396" s="152" t="n"/>
      <c r="B396" s="149" t="n">
        <v>379</v>
      </c>
      <c r="C396" s="223" t="inlineStr">
        <is>
          <t>NFF-379 – ADMINISTRADOR (clientes) - modo oscuro – Encabezado de tabla: Fondo gris muy oscuro con texto gris claro en peso semi-bold.</t>
        </is>
      </c>
      <c r="D396" s="218" t="n"/>
      <c r="E396" s="153" t="n"/>
      <c r="F396" s="55" t="inlineStr">
        <is>
          <t>x</t>
        </is>
      </c>
      <c r="G396" s="55" t="n"/>
      <c r="H396" s="55" t="n"/>
      <c r="I396" s="56" t="n"/>
      <c r="J396" s="121" t="n"/>
      <c r="K396" s="121" t="n"/>
      <c r="L396" s="121" t="n"/>
      <c r="M396" s="121" t="n"/>
    </row>
    <row r="397" ht="18.75" customHeight="1" s="215">
      <c r="A397" s="152" t="n"/>
      <c r="B397" s="149" t="n">
        <v>380</v>
      </c>
      <c r="C397" s="223" t="inlineStr">
        <is>
          <t>NFF-380 – ADMINISTRADOR (clientes) - modo oscuro – Definición de columnas: Cliente, Email, Reservas y Última visita con alineación a la izquierda.</t>
        </is>
      </c>
      <c r="D397" s="218" t="n"/>
      <c r="E397" s="153" t="n"/>
      <c r="F397" s="55" t="inlineStr">
        <is>
          <t>x</t>
        </is>
      </c>
      <c r="G397" s="55" t="n"/>
      <c r="H397" s="55" t="n"/>
      <c r="I397" s="56" t="n"/>
      <c r="J397" s="121" t="n"/>
      <c r="K397" s="121" t="n"/>
      <c r="L397" s="121" t="n"/>
      <c r="M397" s="121" t="n"/>
    </row>
    <row r="398" ht="18.75" customHeight="1" s="215">
      <c r="A398" s="152" t="n"/>
      <c r="B398" s="149" t="n">
        <v>381</v>
      </c>
      <c r="C398" s="223" t="inlineStr">
        <is>
          <t>NFF-381 – ADMINISTRADOR (clientes) - modo oscuro – Fila de datos: Fondo negro/gris oscuro sólido con texto en blanco puro para los registros.</t>
        </is>
      </c>
      <c r="D398" s="218" t="n"/>
      <c r="E398" s="153" t="n"/>
      <c r="F398" s="55" t="inlineStr">
        <is>
          <t>x</t>
        </is>
      </c>
      <c r="G398" s="55" t="n"/>
      <c r="H398" s="55" t="n"/>
      <c r="I398" s="56" t="n"/>
      <c r="J398" s="121" t="n"/>
      <c r="K398" s="121" t="n"/>
      <c r="L398" s="121" t="n"/>
      <c r="M398" s="121" t="n"/>
    </row>
    <row r="399" ht="18.75" customHeight="1" s="215">
      <c r="A399" s="152" t="n"/>
      <c r="B399" s="149" t="n">
        <v>382</v>
      </c>
      <c r="C399" s="223" t="inlineStr">
        <is>
          <t>NFF-382 – ADMINISTRADOR (clientes) - modo oscuro – Ítem activo "Clientes" (Sidebar): Fondo rojo oscuro (#991b1b), texto blanco y borde izquierdo rojo brillante. Border-radius 8px.</t>
        </is>
      </c>
      <c r="D399" s="218" t="n"/>
      <c r="E399" s="153" t="n"/>
      <c r="F399" s="55" t="inlineStr">
        <is>
          <t>x</t>
        </is>
      </c>
      <c r="G399" s="55" t="n"/>
      <c r="H399" s="55" t="n"/>
      <c r="I399" s="56" t="n"/>
      <c r="J399" s="121" t="n"/>
      <c r="K399" s="121" t="n"/>
      <c r="L399" s="121" t="n"/>
      <c r="M399" s="121" t="n"/>
    </row>
    <row r="400" ht="18.75" customHeight="1" s="215">
      <c r="A400" s="152" t="n"/>
      <c r="B400" s="149" t="n">
        <v>383</v>
      </c>
      <c r="C400" s="223" t="inlineStr">
        <is>
          <t>NFF-383 – ADMINISTRADOR (clientes) - modo oscuro – Bloque de perfil de usuario (Sidebar): Fondo gris muy oscuro con avatar naranja circular e inicial "A" en blanco.</t>
        </is>
      </c>
      <c r="D400" s="218" t="n"/>
      <c r="E400" s="153" t="n"/>
      <c r="F400" s="55" t="inlineStr">
        <is>
          <t>x</t>
        </is>
      </c>
      <c r="G400" s="55" t="n"/>
      <c r="H400" s="55" t="n"/>
      <c r="I400" s="56" t="n"/>
      <c r="J400" s="121" t="n"/>
      <c r="K400" s="121" t="n"/>
      <c r="L400" s="121" t="n"/>
      <c r="M400" s="121" t="n"/>
    </row>
    <row r="401" ht="18.75" customHeight="1" s="215">
      <c r="A401" s="152" t="n"/>
      <c r="B401" s="149" t="n">
        <v>384</v>
      </c>
      <c r="C401" s="223" t="inlineStr">
        <is>
          <t>NFF-384 – ADMINISTRADOR (clientes) - modo oscuro – Fondo general de la interfaz: Color negro sólido (#0a0a0a).</t>
        </is>
      </c>
      <c r="D401" s="218" t="n"/>
      <c r="E401" s="153" t="n"/>
      <c r="F401" s="55" t="inlineStr">
        <is>
          <t>x</t>
        </is>
      </c>
      <c r="G401" s="55" t="n"/>
      <c r="H401" s="55" t="n"/>
      <c r="I401" s="56" t="n"/>
      <c r="J401" s="121" t="n"/>
      <c r="K401" s="121" t="n"/>
      <c r="L401" s="121" t="n"/>
      <c r="M401" s="121" t="n"/>
    </row>
    <row r="402" ht="18.75" customHeight="1" s="215">
      <c r="A402" s="152" t="n"/>
      <c r="B402" s="149" t="n">
        <v>385</v>
      </c>
      <c r="C402" s="223" t="inlineStr">
        <is>
          <t>NFF-385 – ADMINISTRADOR (correos) - modo oscuro – Indicador de sección (Breadcrumb): Texto "Correos" en gris claro, tamaño pequeño, ubicado sobre el título principal.</t>
        </is>
      </c>
      <c r="D402" s="218" t="n"/>
      <c r="E402" s="153" t="n"/>
      <c r="F402" s="55" t="inlineStr">
        <is>
          <t>x</t>
        </is>
      </c>
      <c r="G402" s="55" t="n"/>
      <c r="H402" s="55" t="n"/>
      <c r="I402" s="56" t="n"/>
      <c r="J402" s="121" t="n"/>
      <c r="K402" s="121" t="n"/>
      <c r="L402" s="121" t="n"/>
      <c r="M402" s="121" t="n"/>
    </row>
    <row r="403" ht="18.75" customHeight="1" s="215">
      <c r="A403" s="152" t="n"/>
      <c r="B403" s="149" t="n">
        <v>386</v>
      </c>
      <c r="C403" s="223" t="inlineStr">
        <is>
          <t>NFF-386 – ADMINISTRADOR (correos) - modo oscuro – Título principal: "Buenas tardes" en blanco puro, peso bold, fuente sans-serif.</t>
        </is>
      </c>
      <c r="D403" s="218" t="n"/>
      <c r="E403" s="153" t="n"/>
      <c r="F403" s="55" t="inlineStr">
        <is>
          <t>x</t>
        </is>
      </c>
      <c r="G403" s="55" t="n"/>
      <c r="H403" s="55" t="n"/>
      <c r="I403" s="56" t="n"/>
      <c r="J403" s="121" t="n"/>
      <c r="K403" s="121" t="n"/>
      <c r="L403" s="121" t="n"/>
      <c r="M403" s="121" t="n"/>
    </row>
    <row r="404" ht="18.75" customHeight="1" s="215">
      <c r="A404" s="152" t="n"/>
      <c r="B404" s="149" t="n">
        <v>387</v>
      </c>
      <c r="C404" s="223" t="inlineStr">
        <is>
          <t>NFF-387 – ADMINISTRADOR (correos) - modo oscuro – Texto descriptivo: "Gestiona tu restaurante..." en gris medio, alineado a la izquierda.</t>
        </is>
      </c>
      <c r="D404" s="218" t="n"/>
      <c r="E404" s="153" t="n"/>
      <c r="F404" s="55" t="inlineStr">
        <is>
          <t>x</t>
        </is>
      </c>
      <c r="G404" s="55" t="n"/>
      <c r="H404" s="55" t="n"/>
      <c r="I404" s="56" t="n"/>
      <c r="J404" s="121" t="n"/>
      <c r="K404" s="121" t="n"/>
      <c r="L404" s="121" t="n"/>
      <c r="M404" s="121" t="n"/>
    </row>
    <row r="405" ht="18.75" customHeight="1" s="215">
      <c r="A405" s="152" t="n"/>
      <c r="B405" s="149" t="n">
        <v>388</v>
      </c>
      <c r="C405" s="223" t="inlineStr">
        <is>
          <t>NFF-388 – ADMINISTRADOR (correos) - modo oscuro – Tarjeta principal de correos: Fondo gris carbón muy oscuro, borde delgado gris y border-radius de 12px.</t>
        </is>
      </c>
      <c r="D405" s="218" t="n"/>
      <c r="E405" s="153" t="n"/>
      <c r="F405" s="55" t="inlineStr">
        <is>
          <t>x</t>
        </is>
      </c>
      <c r="G405" s="55" t="n"/>
      <c r="H405" s="55" t="n"/>
      <c r="I405" s="56" t="n"/>
      <c r="J405" s="121" t="n"/>
      <c r="K405" s="121" t="n"/>
      <c r="L405" s="121" t="n"/>
      <c r="M405" s="121" t="n"/>
    </row>
    <row r="406" ht="18.75" customHeight="1" s="215">
      <c r="A406" s="152" t="n"/>
      <c r="B406" s="149" t="n">
        <v>389</v>
      </c>
      <c r="C406" s="223" t="inlineStr">
        <is>
          <t>NFF-389 – ADMINISTRADOR (correos) - modo oscuro – Encabezado de tarjeta: Icono de sobre seguido del texto "Correos no leídos" en blanco bold.</t>
        </is>
      </c>
      <c r="D406" s="218" t="n"/>
      <c r="E406" s="153" t="n"/>
      <c r="F406" s="55" t="inlineStr">
        <is>
          <t>x</t>
        </is>
      </c>
      <c r="G406" s="55" t="n"/>
      <c r="H406" s="55" t="n"/>
      <c r="I406" s="56" t="n"/>
      <c r="J406" s="121" t="n"/>
      <c r="K406" s="121" t="n"/>
      <c r="L406" s="121" t="n"/>
      <c r="M406" s="121" t="n"/>
    </row>
    <row r="407" ht="18.75" customHeight="1" s="215">
      <c r="A407" s="152" t="n"/>
      <c r="B407" s="149" t="n">
        <v>390</v>
      </c>
      <c r="C407" s="223" t="inlineStr">
        <is>
          <t>NFF-390 – ADMINISTRADOR (correos) - modo oscuro – Botón "Actualizar": Fondo transparente con borde gris fino, texto blanco e icono de rotación a la izquierda; border-radius 8px.</t>
        </is>
      </c>
      <c r="D407" s="218" t="n"/>
      <c r="E407" s="153" t="n"/>
      <c r="F407" s="55" t="inlineStr">
        <is>
          <t>x</t>
        </is>
      </c>
      <c r="G407" s="55" t="n"/>
      <c r="H407" s="55" t="n"/>
      <c r="I407" s="56" t="n"/>
      <c r="J407" s="121" t="n"/>
      <c r="K407" s="121" t="n"/>
      <c r="L407" s="121" t="n"/>
      <c r="M407" s="121" t="n"/>
    </row>
    <row r="408" ht="18.75" customHeight="1" s="215">
      <c r="A408" s="152" t="n"/>
      <c r="B408" s="149" t="n">
        <v>391</v>
      </c>
      <c r="C408" s="223" t="inlineStr">
        <is>
          <t>NFF-391 – ADMINISTRADOR (correos) - modo oscuro – Contenedor de estado vacío: Borde punteado (dashed) en gris medio, centrado dentro de la tarjeta principal.</t>
        </is>
      </c>
      <c r="D408" s="218" t="n"/>
      <c r="E408" s="153" t="n"/>
      <c r="F408" s="55" t="inlineStr">
        <is>
          <t>x</t>
        </is>
      </c>
      <c r="G408" s="55" t="n"/>
      <c r="H408" s="55" t="n"/>
      <c r="I408" s="56" t="n"/>
      <c r="J408" s="121" t="n"/>
      <c r="K408" s="121" t="n"/>
      <c r="L408" s="121" t="n"/>
      <c r="M408" s="121" t="n"/>
    </row>
    <row r="409" ht="18.75" customHeight="1" s="215">
      <c r="A409" s="152" t="n"/>
      <c r="B409" s="149" t="n">
        <v>392</v>
      </c>
      <c r="C409" s="223" t="inlineStr">
        <is>
          <t>NFF-392 – ADMINISTRADOR (correos) - modo oscuro – Icono de estado vacío: Sobre lineal en gris medio, tamaño grande, centrado vertical y horizontalmente.</t>
        </is>
      </c>
      <c r="D409" s="218" t="n"/>
      <c r="E409" s="153" t="n"/>
      <c r="F409" s="55" t="inlineStr">
        <is>
          <t>x</t>
        </is>
      </c>
      <c r="G409" s="55" t="n"/>
      <c r="H409" s="55" t="n"/>
      <c r="I409" s="56" t="n"/>
      <c r="J409" s="121" t="n"/>
      <c r="K409" s="121" t="n"/>
      <c r="L409" s="121" t="n"/>
      <c r="M409" s="121" t="n"/>
    </row>
    <row r="410" ht="18.75" customHeight="1" s="215">
      <c r="A410" s="152" t="n"/>
      <c r="B410" s="149" t="n">
        <v>393</v>
      </c>
      <c r="C410" s="223" t="inlineStr">
        <is>
          <t>NFF-393 – ADMINISTRADOR (correos) - modo oscuro – Mensaje de estado vacío: "No hay correos no leídos" en blanco bold, seguido de subtexto descriptivo en gris medio.</t>
        </is>
      </c>
      <c r="D410" s="218" t="n"/>
      <c r="E410" s="153" t="n"/>
      <c r="F410" s="55" t="inlineStr">
        <is>
          <t>x</t>
        </is>
      </c>
      <c r="G410" s="55" t="n"/>
      <c r="H410" s="55" t="n"/>
      <c r="I410" s="56" t="n"/>
      <c r="J410" s="121" t="n"/>
      <c r="K410" s="121" t="n"/>
      <c r="L410" s="121" t="n"/>
      <c r="M410" s="121" t="n"/>
    </row>
    <row r="411" ht="18.75" customHeight="1" s="215">
      <c r="A411" s="152" t="n"/>
      <c r="B411" s="149" t="n">
        <v>394</v>
      </c>
      <c r="C411" s="223" t="inlineStr">
        <is>
          <t>NFF-394 – ADMINISTRADOR (correos) - modo oscuro – Ítem activo "Correos" (Sidebar): Fondo rojo oscuro (#991b1b), texto blanco y borde izquierdo rojo brillante; border-radius 8px.</t>
        </is>
      </c>
      <c r="D411" s="218" t="n"/>
      <c r="E411" s="153" t="n"/>
      <c r="F411" s="55" t="inlineStr">
        <is>
          <t>x</t>
        </is>
      </c>
      <c r="G411" s="55" t="n"/>
      <c r="H411" s="55" t="n"/>
      <c r="I411" s="56" t="n"/>
      <c r="J411" s="121" t="n"/>
      <c r="K411" s="121" t="n"/>
      <c r="L411" s="121" t="n"/>
      <c r="M411" s="121" t="n"/>
    </row>
    <row r="412" ht="18.75" customHeight="1" s="215">
      <c r="A412" s="152" t="n"/>
      <c r="B412" s="149" t="n">
        <v>395</v>
      </c>
      <c r="C412" s="223" t="inlineStr">
        <is>
          <t>NFF-395 – ADMINISTRADOR (correos) - modo oscuro – Bloque de perfil de usuario (Sidebar): Fondo gris muy oscuro con avatar naranja circular e inicial "A" en blanco.</t>
        </is>
      </c>
      <c r="D412" s="218" t="n"/>
      <c r="E412" s="153" t="n"/>
      <c r="F412" s="55" t="inlineStr">
        <is>
          <t>x</t>
        </is>
      </c>
      <c r="G412" s="55" t="n"/>
      <c r="H412" s="55" t="n"/>
      <c r="I412" s="56" t="n"/>
      <c r="J412" s="121" t="n"/>
      <c r="K412" s="121" t="n"/>
      <c r="L412" s="121" t="n"/>
      <c r="M412" s="121" t="n"/>
    </row>
    <row r="413" ht="18.75" customHeight="1" s="215">
      <c r="A413" s="152" t="n"/>
      <c r="B413" s="149" t="n">
        <v>396</v>
      </c>
      <c r="C413" s="223" t="inlineStr">
        <is>
          <t>NFF-396 – ADMINISTRADOR (correos) - modo oscuro – Fondo general de la interfaz: Color negro sólido o gris carbón muy oscuro (#0a0a0a).</t>
        </is>
      </c>
      <c r="D413" s="218" t="n"/>
      <c r="E413" s="153" t="n"/>
      <c r="F413" s="55" t="inlineStr">
        <is>
          <t>x</t>
        </is>
      </c>
      <c r="G413" s="55" t="n"/>
      <c r="H413" s="55" t="n"/>
      <c r="I413" s="56" t="n"/>
      <c r="J413" s="121" t="n"/>
      <c r="K413" s="121" t="n"/>
      <c r="L413" s="121" t="n"/>
      <c r="M413" s="121" t="n"/>
    </row>
    <row r="414" ht="18.75" customHeight="1" s="215">
      <c r="A414" s="152" t="n"/>
      <c r="B414" s="149" t="n">
        <v>397</v>
      </c>
      <c r="C414" s="223" t="inlineStr">
        <is>
          <t>NFF-397 – ADMINISTRADOR (configuracion) - modo oscuro – Indicador de sección (Breadcrumb): Texto "Configuración" en gris claro, tamaño pequeño, posicionado sobre el título principal.</t>
        </is>
      </c>
      <c r="D414" s="218" t="n"/>
      <c r="E414" s="153" t="n"/>
      <c r="F414" s="55" t="inlineStr">
        <is>
          <t>x</t>
        </is>
      </c>
      <c r="G414" s="55" t="n"/>
      <c r="H414" s="55" t="n"/>
      <c r="I414" s="56" t="n"/>
      <c r="J414" s="121" t="n"/>
      <c r="K414" s="121" t="n"/>
      <c r="L414" s="121" t="n"/>
      <c r="M414" s="121" t="n"/>
    </row>
    <row r="415" ht="18.75" customHeight="1" s="215">
      <c r="A415" s="152" t="n"/>
      <c r="B415" s="149" t="n">
        <v>398</v>
      </c>
      <c r="C415" s="223" t="inlineStr">
        <is>
          <t>NFF-398 – ADMINISTRADOR (configuracion) - modo oscuro – Título principal: "Buenas tardes" en blanco puro, peso bold, fuente sans-serif.</t>
        </is>
      </c>
      <c r="D415" s="218" t="n"/>
      <c r="E415" s="153" t="n"/>
      <c r="F415" s="55" t="inlineStr">
        <is>
          <t>x</t>
        </is>
      </c>
      <c r="G415" s="55" t="n"/>
      <c r="H415" s="55" t="n"/>
      <c r="I415" s="56" t="n"/>
      <c r="J415" s="121" t="n"/>
      <c r="K415" s="121" t="n"/>
      <c r="L415" s="121" t="n"/>
      <c r="M415" s="121" t="n"/>
    </row>
    <row r="416" ht="18.75" customHeight="1" s="215">
      <c r="A416" s="152" t="n"/>
      <c r="B416" s="149" t="n">
        <v>399</v>
      </c>
      <c r="C416" s="223" t="inlineStr">
        <is>
          <t>NFF-399 – ADMINISTRADOR (configuracion) - modo oscuro – Texto descriptivo: "Gestiona tu restaurante..." en gris medio, alineado a la izquierda.</t>
        </is>
      </c>
      <c r="D416" s="218" t="n"/>
      <c r="E416" s="153" t="n"/>
      <c r="F416" s="55" t="inlineStr">
        <is>
          <t>x</t>
        </is>
      </c>
      <c r="G416" s="55" t="n"/>
      <c r="H416" s="55" t="n"/>
      <c r="I416" s="56" t="n"/>
      <c r="J416" s="121" t="n"/>
      <c r="K416" s="121" t="n"/>
      <c r="L416" s="121" t="n"/>
      <c r="M416" s="121" t="n"/>
    </row>
    <row r="417" ht="18.75" customHeight="1" s="215">
      <c r="A417" s="152" t="n"/>
      <c r="B417" s="149" t="n">
        <v>400</v>
      </c>
      <c r="C417" s="223" t="inlineStr">
        <is>
          <t>NFF-400 – ADMINISTRADOR (configuracion) - modo oscuro – Tarjetas de configuración (SMTP e IMAP): Fondo gris carbón muy oscuro, borde delgado gris y border-radius de 12px.</t>
        </is>
      </c>
      <c r="D417" s="218" t="n"/>
      <c r="E417" s="153" t="n"/>
      <c r="F417" s="55" t="inlineStr">
        <is>
          <t>x</t>
        </is>
      </c>
      <c r="G417" s="55" t="n"/>
      <c r="H417" s="55" t="n"/>
      <c r="I417" s="56" t="n"/>
      <c r="J417" s="121" t="n"/>
      <c r="K417" s="121" t="n"/>
      <c r="L417" s="121" t="n"/>
      <c r="M417" s="121" t="n"/>
    </row>
    <row r="418" ht="18.75" customHeight="1" s="215">
      <c r="A418" s="152" t="n"/>
      <c r="B418" s="149" t="n">
        <v>401</v>
      </c>
      <c r="C418" s="223" t="inlineStr">
        <is>
          <t>NFF-401 – ADMINISTRADOR (configuracion) - modo oscuro – Títulos de sección: Texto en blanco con peso bold, acompañados de iconos lineales (avión de papel para SMTP y sobre para IMAP).</t>
        </is>
      </c>
      <c r="D418" s="218" t="n"/>
      <c r="E418" s="153" t="n"/>
      <c r="F418" s="55" t="inlineStr">
        <is>
          <t>x</t>
        </is>
      </c>
      <c r="G418" s="55" t="n"/>
      <c r="H418" s="55" t="n"/>
      <c r="I418" s="56" t="n"/>
      <c r="J418" s="121" t="n"/>
      <c r="K418" s="121" t="n"/>
      <c r="L418" s="121" t="n"/>
      <c r="M418" s="121" t="n"/>
    </row>
    <row r="419" ht="18.75" customHeight="1" s="215">
      <c r="A419" s="152" t="n"/>
      <c r="B419" s="149" t="n">
        <v>402</v>
      </c>
      <c r="C419" s="223" t="inlineStr">
        <is>
          <t>NFF-402 – ADMINISTRADOR (configuracion) - modo oscuro – Subtítulos de sección: Texto gris medio, tamaño de fuente reducido, ubicado bajo el título de cada tarjeta.</t>
        </is>
      </c>
      <c r="D419" s="218" t="n"/>
      <c r="E419" s="153" t="n"/>
      <c r="F419" s="55" t="inlineStr">
        <is>
          <t>x</t>
        </is>
      </c>
      <c r="G419" s="55" t="n"/>
      <c r="H419" s="55" t="n"/>
      <c r="I419" s="56" t="n"/>
      <c r="J419" s="121" t="n"/>
      <c r="K419" s="121" t="n"/>
      <c r="L419" s="121" t="n"/>
      <c r="M419" s="121" t="n"/>
    </row>
    <row r="420" ht="18.75" customHeight="1" s="215">
      <c r="A420" s="152" t="n"/>
      <c r="B420" s="149" t="n">
        <v>403</v>
      </c>
      <c r="C420" s="223" t="inlineStr">
        <is>
          <t>NFF-403 – ADMINISTRADOR (configuracion) - modo oscuro – Etiquetas de campos (Labels): Texto gris claro, tamaño pequeño, peso regular.</t>
        </is>
      </c>
      <c r="D420" s="218" t="n"/>
      <c r="E420" s="153" t="n"/>
      <c r="F420" s="55" t="inlineStr">
        <is>
          <t>x</t>
        </is>
      </c>
      <c r="G420" s="55" t="n"/>
      <c r="H420" s="55" t="n"/>
      <c r="I420" s="56" t="n"/>
      <c r="J420" s="121" t="n"/>
      <c r="K420" s="121" t="n"/>
      <c r="L420" s="121" t="n"/>
      <c r="M420" s="121" t="n"/>
    </row>
    <row r="421" ht="18.75" customHeight="1" s="215">
      <c r="A421" s="152" t="n"/>
      <c r="B421" s="149" t="n">
        <v>404</v>
      </c>
      <c r="C421" s="223" t="inlineStr">
        <is>
          <t>NFF-404 – ADMINISTRADOR (configuracion) - modo oscuro – Cajas de entrada (Inputs): Fondo negro sólido, borde gris oscuro y border-radius de 8px; altura aproximada de 40px.</t>
        </is>
      </c>
      <c r="D421" s="218" t="n"/>
      <c r="E421" s="153" t="n"/>
      <c r="F421" s="55" t="inlineStr">
        <is>
          <t>x</t>
        </is>
      </c>
      <c r="G421" s="55" t="n"/>
      <c r="H421" s="55" t="n"/>
      <c r="I421" s="56" t="n"/>
      <c r="J421" s="121" t="n"/>
      <c r="K421" s="121" t="n"/>
      <c r="L421" s="121" t="n"/>
      <c r="M421" s="121" t="n"/>
    </row>
    <row r="422" ht="18.75" customHeight="1" s="215">
      <c r="A422" s="152" t="n"/>
      <c r="B422" s="149" t="n">
        <v>405</v>
      </c>
      <c r="C422" s="223" t="inlineStr">
        <is>
          <t>NFF-405 – ADMINISTRADOR (configuracion) - modo oscuro – Botón "Guardar SMTP": Fondo rojo intenso (#b91c1c), texto blanco y peso bold; border-radius de 8px.</t>
        </is>
      </c>
      <c r="D422" s="218" t="n"/>
      <c r="E422" s="153" t="n"/>
      <c r="F422" s="55" t="inlineStr">
        <is>
          <t>x</t>
        </is>
      </c>
      <c r="G422" s="55" t="n"/>
      <c r="H422" s="55" t="n"/>
      <c r="I422" s="56" t="n"/>
      <c r="J422" s="121" t="n"/>
      <c r="K422" s="121" t="n"/>
      <c r="L422" s="121" t="n"/>
      <c r="M422" s="121" t="n"/>
    </row>
    <row r="423" ht="18.75" customHeight="1" s="215">
      <c r="A423" s="152" t="n"/>
      <c r="B423" s="149" t="n">
        <v>406</v>
      </c>
      <c r="C423" s="223" t="inlineStr">
        <is>
          <t>NFF-406 – ADMINISTRADOR (configuracion) - modo oscuro – Botón "Guardar IMAP": Fondo dorado (#d4af37), texto negro y peso bold; border-radius de 8px.</t>
        </is>
      </c>
      <c r="D423" s="218" t="n"/>
      <c r="E423" s="153" t="n"/>
      <c r="F423" s="55" t="inlineStr">
        <is>
          <t>x</t>
        </is>
      </c>
      <c r="G423" s="55" t="n"/>
      <c r="H423" s="55" t="n"/>
      <c r="I423" s="56" t="n"/>
      <c r="J423" s="121" t="n"/>
      <c r="K423" s="121" t="n"/>
      <c r="L423" s="121" t="n"/>
      <c r="M423" s="121" t="n"/>
    </row>
    <row r="424" ht="18.75" customHeight="1" s="215">
      <c r="A424" s="152" t="n"/>
      <c r="B424" s="149" t="n">
        <v>407</v>
      </c>
      <c r="C424" s="223" t="inlineStr">
        <is>
          <t>NFF-407 – ADMINISTRADOR (configuracion) - modo oscuro – Ítem activo "Configuración" (Sidebar): Fondo rojo oscuro (#991b1b), texto blanco y borde izquierdo rojo brillante; border-radius de 8px.</t>
        </is>
      </c>
      <c r="D424" s="218" t="n"/>
      <c r="E424" s="153" t="n"/>
      <c r="F424" s="55" t="inlineStr">
        <is>
          <t>x</t>
        </is>
      </c>
      <c r="G424" s="55" t="n"/>
      <c r="H424" s="55" t="n"/>
      <c r="I424" s="56" t="n"/>
      <c r="J424" s="121" t="n"/>
      <c r="K424" s="121" t="n"/>
      <c r="L424" s="121" t="n"/>
      <c r="M424" s="121" t="n"/>
    </row>
    <row r="425" ht="18.75" customHeight="1" s="215">
      <c r="A425" s="152" t="n"/>
      <c r="B425" s="149" t="n">
        <v>408</v>
      </c>
      <c r="C425" s="223" t="inlineStr">
        <is>
          <t>NFF-408 – ADMINISTRADOR (configuracion) - modo oscuro – Bloque de perfil de usuario (Sidebar): Fondo gris muy oscuro con avatar naranja circular e inicial "A" en blanco.</t>
        </is>
      </c>
      <c r="D425" s="218" t="n"/>
      <c r="E425" s="153" t="n"/>
      <c r="F425" s="55" t="inlineStr">
        <is>
          <t>x</t>
        </is>
      </c>
      <c r="G425" s="55" t="n"/>
      <c r="H425" s="55" t="n"/>
      <c r="I425" s="56" t="n"/>
      <c r="J425" s="121" t="n"/>
      <c r="K425" s="121" t="n"/>
      <c r="L425" s="121" t="n"/>
      <c r="M425" s="121" t="n"/>
    </row>
    <row r="426" ht="18.75" customHeight="1" s="215">
      <c r="A426" s="152" t="n"/>
      <c r="B426" s="149" t="n">
        <v>409</v>
      </c>
      <c r="C426" s="223" t="inlineStr">
        <is>
          <t>NFF-409 – ADMINISTRADOR (configuracion) - modo oscuro – Fondo general de la interfaz: Color negro sólido o gris carbón muy oscuro (#0a0a0a).</t>
        </is>
      </c>
      <c r="D426" s="218" t="n"/>
      <c r="E426" s="153" t="n"/>
      <c r="F426" s="55" t="inlineStr">
        <is>
          <t>x</t>
        </is>
      </c>
      <c r="G426" s="55" t="n"/>
      <c r="H426" s="55" t="n"/>
      <c r="I426" s="56" t="n"/>
      <c r="J426" s="121" t="n"/>
      <c r="K426" s="121" t="n"/>
      <c r="L426" s="121" t="n"/>
      <c r="M426" s="121" t="n"/>
    </row>
    <row r="427" ht="18.75" customHeight="1" s="215">
      <c r="A427" s="152" t="n"/>
      <c r="B427" s="149" t="n">
        <v>410</v>
      </c>
      <c r="C427" s="223" t="inlineStr">
        <is>
          <t>NFF-410 – DUEÑO (resumen) - modo claro – Fondo general de la interfaz: Color crema o beige muy claro (#f5f5f4).</t>
        </is>
      </c>
      <c r="D427" s="218" t="n"/>
      <c r="E427" s="153" t="n"/>
      <c r="F427" s="55" t="inlineStr">
        <is>
          <t>x</t>
        </is>
      </c>
      <c r="G427" s="55" t="n"/>
      <c r="H427" s="55" t="n"/>
      <c r="I427" s="56" t="n"/>
      <c r="J427" s="121" t="n"/>
      <c r="K427" s="121" t="n"/>
      <c r="L427" s="121" t="n"/>
      <c r="M427" s="121" t="n"/>
    </row>
    <row r="428" ht="18.75" customHeight="1" s="215">
      <c r="A428" s="152" t="n"/>
      <c r="B428" s="149" t="n">
        <v>411</v>
      </c>
      <c r="C428" s="223" t="inlineStr">
        <is>
          <t>NFF-411 – DUEÑO (resumen) - modo claro – Barra lateral (Sidebar): Fondo blanco puro con un borde derecho gris muy tenue para separación.</t>
        </is>
      </c>
      <c r="D428" s="218" t="n"/>
      <c r="E428" s="153" t="n"/>
      <c r="F428" s="55" t="inlineStr">
        <is>
          <t>x</t>
        </is>
      </c>
      <c r="G428" s="55" t="n"/>
      <c r="H428" s="55" t="n"/>
      <c r="I428" s="56" t="n"/>
      <c r="J428" s="121" t="n"/>
      <c r="K428" s="121" t="n"/>
      <c r="L428" s="121" t="n"/>
      <c r="M428" s="121" t="n"/>
    </row>
    <row r="429" ht="18.75" customHeight="1" s="215">
      <c r="A429" s="152" t="n"/>
      <c r="B429" s="149" t="n">
        <v>412</v>
      </c>
      <c r="C429" s="223" t="inlineStr">
        <is>
          <t>NFF-412 – DUEÑO (resumen) - modo claro – Ítem activo "Resumen" (Sidebar): Fondo naranja sólido (#f97316), texto blanco puro y border-radius de 8px.</t>
        </is>
      </c>
      <c r="D429" s="218" t="n"/>
      <c r="E429" s="153" t="n"/>
      <c r="F429" s="55" t="inlineStr">
        <is>
          <t>x</t>
        </is>
      </c>
      <c r="G429" s="55" t="n"/>
      <c r="H429" s="55" t="n"/>
      <c r="I429" s="56" t="n"/>
      <c r="J429" s="121" t="n"/>
      <c r="K429" s="121" t="n"/>
      <c r="L429" s="121" t="n"/>
      <c r="M429" s="121" t="n"/>
    </row>
    <row r="430" ht="18.75" customHeight="1" s="215">
      <c r="A430" s="152" t="n"/>
      <c r="B430" s="149" t="n">
        <v>413</v>
      </c>
      <c r="C430" s="223" t="inlineStr">
        <is>
          <t>NFF-413 – DUEÑO (resumen) - modo claro – Ítems inactivos (Sidebar): Texto gris medio con iconos lineales sencillos en gris.</t>
        </is>
      </c>
      <c r="D430" s="218" t="n"/>
      <c r="E430" s="153" t="n"/>
      <c r="F430" s="55" t="inlineStr">
        <is>
          <t>x</t>
        </is>
      </c>
      <c r="G430" s="55" t="n"/>
      <c r="H430" s="55" t="n"/>
      <c r="I430" s="56" t="n"/>
      <c r="J430" s="121" t="n"/>
      <c r="K430" s="121" t="n"/>
      <c r="L430" s="121" t="n"/>
      <c r="M430" s="121" t="n"/>
    </row>
    <row r="431" ht="18.75" customHeight="1" s="215">
      <c r="A431" s="152" t="n"/>
      <c r="B431" s="149" t="n">
        <v>414</v>
      </c>
      <c r="C431" s="223" t="inlineStr">
        <is>
          <t>NFF-414 – DUEÑO (resumen) - modo claro – Sección de perfil de usuario (inferior): Bloque con fondo gris muy suave (#f3f4f6), avatar circular naranja con letra "D" blanca.</t>
        </is>
      </c>
      <c r="D431" s="218" t="n"/>
      <c r="E431" s="153" t="n"/>
      <c r="F431" s="55" t="inlineStr">
        <is>
          <t>x</t>
        </is>
      </c>
      <c r="G431" s="55" t="n"/>
      <c r="H431" s="55" t="n"/>
      <c r="I431" s="56" t="n"/>
      <c r="J431" s="121" t="n"/>
      <c r="K431" s="121" t="n"/>
      <c r="L431" s="121" t="n"/>
      <c r="M431" s="121" t="n"/>
    </row>
    <row r="432" ht="18.75" customHeight="1" s="215">
      <c r="A432" s="152" t="n"/>
      <c r="B432" s="149" t="n">
        <v>415</v>
      </c>
      <c r="C432" s="223" t="inlineStr">
        <is>
          <t>NFF-415 – DUEÑO (resumen) - modo claro – Título principal "Buenas tardes": Texto en azul oscuro profundo, peso bold y fuente sans-serif.</t>
        </is>
      </c>
      <c r="D432" s="218" t="n"/>
      <c r="E432" s="153" t="n"/>
      <c r="F432" s="55" t="inlineStr">
        <is>
          <t>x</t>
        </is>
      </c>
      <c r="G432" s="55" t="n"/>
      <c r="H432" s="55" t="n"/>
      <c r="I432" s="56" t="n"/>
      <c r="J432" s="121" t="n"/>
      <c r="K432" s="121" t="n"/>
      <c r="L432" s="121" t="n"/>
      <c r="M432" s="121" t="n"/>
    </row>
    <row r="433" ht="18.75" customHeight="1" s="215">
      <c r="A433" s="152" t="n"/>
      <c r="B433" s="149" t="n">
        <v>416</v>
      </c>
      <c r="C433" s="223" t="inlineStr">
        <is>
          <t>NFF-416 – DUEÑO (resumen) - modo claro – Subtítulo descriptivo: Texto gris medio ubicado bajo el título principal.</t>
        </is>
      </c>
      <c r="D433" s="218" t="n"/>
      <c r="E433" s="153" t="n"/>
      <c r="F433" s="55" t="inlineStr">
        <is>
          <t>x</t>
        </is>
      </c>
      <c r="G433" s="55" t="n"/>
      <c r="H433" s="55" t="n"/>
      <c r="I433" s="56" t="n"/>
      <c r="J433" s="121" t="n"/>
      <c r="K433" s="121" t="n"/>
      <c r="L433" s="121" t="n"/>
      <c r="M433" s="121" t="n"/>
    </row>
    <row r="434" ht="18.75" customHeight="1" s="215">
      <c r="A434" s="152" t="n"/>
      <c r="B434" s="149" t="n">
        <v>417</v>
      </c>
      <c r="C434" s="223" t="inlineStr">
        <is>
          <t>NFF-417 – DUEÑO (resumen) - modo claro – Tarjetas de métricas superiores (Restaurantes, Reservas, Ingresos): Fondo blanco puro, border-radius de 12px y sombra (box-shadow) suave.</t>
        </is>
      </c>
      <c r="D434" s="218" t="n"/>
      <c r="E434" s="153" t="n"/>
      <c r="F434" s="55" t="inlineStr">
        <is>
          <t>x</t>
        </is>
      </c>
      <c r="G434" s="55" t="n"/>
      <c r="H434" s="55" t="n"/>
      <c r="I434" s="56" t="n"/>
      <c r="J434" s="121" t="n"/>
      <c r="K434" s="121" t="n"/>
      <c r="L434" s="121" t="n"/>
      <c r="M434" s="121" t="n"/>
    </row>
    <row r="435" ht="18.75" customHeight="1" s="215">
      <c r="A435" s="152" t="n"/>
      <c r="B435" s="149" t="n">
        <v>418</v>
      </c>
      <c r="C435" s="223" t="inlineStr">
        <is>
          <t>NFF-418 – DUEÑO (resumen) - modo claro – Valores numéricos de métricas: Texto en negro/gris oscuro, tamaño de fuente grande y peso bold.</t>
        </is>
      </c>
      <c r="D435" s="218" t="n"/>
      <c r="E435" s="153" t="n"/>
      <c r="F435" s="55" t="inlineStr">
        <is>
          <t>x</t>
        </is>
      </c>
      <c r="G435" s="55" t="n"/>
      <c r="H435" s="55" t="n"/>
      <c r="I435" s="56" t="n"/>
      <c r="J435" s="121" t="n"/>
      <c r="K435" s="121" t="n"/>
      <c r="L435" s="121" t="n"/>
      <c r="M435" s="121" t="n"/>
    </row>
    <row r="436" ht="18.75" customHeight="1" s="215">
      <c r="A436" s="152" t="n"/>
      <c r="B436" s="149" t="n">
        <v>419</v>
      </c>
      <c r="C436" s="223" t="inlineStr">
        <is>
          <t>NFF-419 – DUEÑO (resumen) - modo claro – Iconos de métricas: Ubicados en la esquina superior derecha en contenedores cuadrados redondeados de colores pastel (azul, verde, morado).</t>
        </is>
      </c>
      <c r="D436" s="218" t="n"/>
      <c r="E436" s="153" t="n"/>
      <c r="F436" s="55" t="inlineStr">
        <is>
          <t>x</t>
        </is>
      </c>
      <c r="G436" s="55" t="n"/>
      <c r="H436" s="55" t="n"/>
      <c r="I436" s="56" t="n"/>
      <c r="J436" s="121" t="n"/>
      <c r="K436" s="121" t="n"/>
      <c r="L436" s="121" t="n"/>
      <c r="M436" s="121" t="n"/>
    </row>
    <row r="437" ht="18.75" customHeight="1" s="215">
      <c r="A437" s="152" t="n"/>
      <c r="B437" s="149" t="n">
        <v>420</v>
      </c>
      <c r="C437" s="223" t="inlineStr">
        <is>
          <t>NFF-420 – DUEÑO (resumen) - modo claro – Tarjeta "Flujo de visitantes": Fondo blanco puro con border-radius de 12px.</t>
        </is>
      </c>
      <c r="D437" s="218" t="n"/>
      <c r="E437" s="153" t="n"/>
      <c r="F437" s="55" t="inlineStr">
        <is>
          <t>x</t>
        </is>
      </c>
      <c r="G437" s="55" t="n"/>
      <c r="H437" s="55" t="n"/>
      <c r="I437" s="56" t="n"/>
      <c r="J437" s="121" t="n"/>
      <c r="K437" s="121" t="n"/>
      <c r="L437" s="121" t="n"/>
      <c r="M437" s="121" t="n"/>
    </row>
    <row r="438" ht="18.75" customHeight="1" s="215">
      <c r="A438" s="152" t="n"/>
      <c r="B438" s="149" t="n">
        <v>421</v>
      </c>
      <c r="C438" s="223" t="inlineStr">
        <is>
          <t>NFF-421 – DUEÑO (resumen) - modo claro – Barras de flujo: Color naranja sólido (#f97316) con fondo de barra en gris muy claro y bordes redondeados.</t>
        </is>
      </c>
      <c r="D438" s="218" t="n"/>
      <c r="E438" s="153" t="n"/>
      <c r="F438" s="55" t="inlineStr">
        <is>
          <t>x</t>
        </is>
      </c>
      <c r="G438" s="55" t="n"/>
      <c r="H438" s="55" t="n"/>
      <c r="I438" s="56" t="n"/>
      <c r="J438" s="121" t="n"/>
      <c r="K438" s="121" t="n"/>
      <c r="L438" s="121" t="n"/>
      <c r="M438" s="121" t="n"/>
    </row>
    <row r="439" ht="18.75" customHeight="1" s="215">
      <c r="A439" s="152" t="n"/>
      <c r="B439" s="149" t="n">
        <v>422</v>
      </c>
      <c r="C439" s="223" t="inlineStr">
        <is>
          <t>NFF-422 – DUEÑO (resumen) - modo claro – Tarjeta "Acciones rápidas": Fondo blanco puro con border-radius de 12px.</t>
        </is>
      </c>
      <c r="D439" s="218" t="n"/>
      <c r="E439" s="153" t="n"/>
      <c r="F439" s="55" t="inlineStr">
        <is>
          <t>x</t>
        </is>
      </c>
      <c r="G439" s="55" t="n"/>
      <c r="H439" s="55" t="n"/>
      <c r="I439" s="56" t="n"/>
      <c r="J439" s="121" t="n"/>
      <c r="K439" s="121" t="n"/>
      <c r="L439" s="121" t="n"/>
      <c r="M439" s="121" t="n"/>
    </row>
    <row r="440" ht="18.75" customHeight="1" s="215">
      <c r="A440" s="152" t="n"/>
      <c r="B440" s="149" t="n">
        <v>423</v>
      </c>
      <c r="C440" s="223" t="inlineStr">
        <is>
          <t>NFF-423 – DUEÑO (resumen) - modo claro – Botón principal "Ver reservas de hoy": Fondo naranja sólido, texto blanco y border-radius de 8px.</t>
        </is>
      </c>
      <c r="D440" s="218" t="n"/>
      <c r="E440" s="153" t="n"/>
      <c r="F440" s="55" t="inlineStr">
        <is>
          <t>x</t>
        </is>
      </c>
      <c r="G440" s="55" t="n"/>
      <c r="H440" s="55" t="n"/>
      <c r="I440" s="56" t="n"/>
      <c r="J440" s="121" t="n"/>
      <c r="K440" s="121" t="n"/>
      <c r="L440" s="121" t="n"/>
      <c r="M440" s="121" t="n"/>
    </row>
    <row r="441" ht="18.75" customHeight="1" s="215">
      <c r="A441" s="152" t="n"/>
      <c r="B441" s="149" t="n">
        <v>424</v>
      </c>
      <c r="C441" s="223" t="inlineStr">
        <is>
          <t>NFF-424 – DUEÑO (resumen) - modo claro – Botones secundarios ("Exportar informe", "Añadir restaurante"): Fondo gris muy claro (#f3f4f6), texto gris oscuro y border-radius de 8px.</t>
        </is>
      </c>
      <c r="D441" s="218" t="n"/>
      <c r="E441" s="153" t="n"/>
      <c r="F441" s="55" t="inlineStr">
        <is>
          <t>x</t>
        </is>
      </c>
      <c r="G441" s="55" t="n"/>
      <c r="H441" s="55" t="n"/>
      <c r="I441" s="56" t="n"/>
      <c r="J441" s="121" t="n"/>
      <c r="K441" s="121" t="n"/>
      <c r="L441" s="121" t="n"/>
      <c r="M441" s="121" t="n"/>
    </row>
    <row r="442" ht="18.75" customHeight="1" s="215">
      <c r="A442" s="152" t="n"/>
      <c r="B442" s="149" t="n">
        <v>425</v>
      </c>
      <c r="C442" s="223" t="inlineStr">
        <is>
          <t>NFF-425 – DUEÑO (restaurantes) - modo claro – Indicador de sección (Breadcrumb): Texto "Mis Restaurantes" en gris oscuro, tamaño pequeño, ubicado sobre el título principal.</t>
        </is>
      </c>
      <c r="D442" s="218" t="n"/>
      <c r="E442" s="153" t="n"/>
      <c r="F442" s="55" t="inlineStr">
        <is>
          <t>x</t>
        </is>
      </c>
      <c r="G442" s="55" t="n"/>
      <c r="H442" s="55" t="n"/>
      <c r="I442" s="56" t="n"/>
      <c r="J442" s="121" t="n"/>
      <c r="K442" s="121" t="n"/>
      <c r="L442" s="121" t="n"/>
      <c r="M442" s="121" t="n"/>
    </row>
    <row r="443" ht="18.75" customHeight="1" s="215">
      <c r="A443" s="152" t="n"/>
      <c r="B443" s="149" t="n">
        <v>426</v>
      </c>
      <c r="C443" s="223" t="inlineStr">
        <is>
          <t>NFF-426 – DUEÑO (restaurantes) - modo claro – Título principal: "Buenas tardes" en azul oscuro profundo, peso bold y fuente sans-serif.</t>
        </is>
      </c>
      <c r="D443" s="218" t="n"/>
      <c r="E443" s="153" t="n"/>
      <c r="F443" s="55" t="inlineStr">
        <is>
          <t>x</t>
        </is>
      </c>
      <c r="G443" s="55" t="n"/>
      <c r="H443" s="55" t="n"/>
      <c r="I443" s="56" t="n"/>
      <c r="J443" s="121" t="n"/>
      <c r="K443" s="121" t="n"/>
      <c r="L443" s="121" t="n"/>
      <c r="M443" s="121" t="n"/>
    </row>
    <row r="444" ht="18.75" customHeight="1" s="215">
      <c r="A444" s="152" t="n"/>
      <c r="B444" s="149" t="n">
        <v>427</v>
      </c>
      <c r="C444" s="223" t="inlineStr">
        <is>
          <t>NFF-427 – DUEÑO (restaurantes) - modo claro – Subtítulo descriptivo: Texto gris medio debajo del título principal.</t>
        </is>
      </c>
      <c r="D444" s="218" t="n"/>
      <c r="E444" s="153" t="n"/>
      <c r="F444" s="55" t="inlineStr">
        <is>
          <t>x</t>
        </is>
      </c>
      <c r="G444" s="55" t="n"/>
      <c r="H444" s="55" t="n"/>
      <c r="I444" s="56" t="n"/>
      <c r="J444" s="121" t="n"/>
      <c r="K444" s="121" t="n"/>
      <c r="L444" s="121" t="n"/>
      <c r="M444" s="121" t="n"/>
    </row>
    <row r="445" ht="18.75" customHeight="1" s="215">
      <c r="A445" s="152" t="n"/>
      <c r="B445" s="149" t="n">
        <v>428</v>
      </c>
      <c r="C445" s="223" t="inlineStr">
        <is>
          <t>NFF-428 – DUEÑO (restaurantes) - modo claro – Contador de elementos: Texto "4 restaurantes administrados" en gris, fuente pequeña, alineado a la izquierda.</t>
        </is>
      </c>
      <c r="D445" s="218" t="n"/>
      <c r="E445" s="153" t="n"/>
      <c r="F445" s="55" t="inlineStr">
        <is>
          <t>x</t>
        </is>
      </c>
      <c r="G445" s="55" t="n"/>
      <c r="H445" s="55" t="n"/>
      <c r="I445" s="56" t="n"/>
      <c r="J445" s="121" t="n"/>
      <c r="K445" s="121" t="n"/>
      <c r="L445" s="121" t="n"/>
      <c r="M445" s="121" t="n"/>
    </row>
    <row r="446" ht="18.75" customHeight="1" s="215">
      <c r="A446" s="152" t="n"/>
      <c r="B446" s="149" t="n">
        <v>429</v>
      </c>
      <c r="C446" s="223" t="inlineStr">
        <is>
          <t>NFF-429 – DUEÑO (restaurantes) - modo claro – Botón "Agregar restaurante": Fondo naranja sólido, texto blanco, border-radius de 8px, ubicado en la parte superior derecha.</t>
        </is>
      </c>
      <c r="D446" s="218" t="n"/>
      <c r="E446" s="153" t="n"/>
      <c r="F446" s="55" t="inlineStr">
        <is>
          <t>x</t>
        </is>
      </c>
      <c r="G446" s="55" t="n"/>
      <c r="H446" s="55" t="n"/>
      <c r="I446" s="56" t="n"/>
      <c r="J446" s="121" t="n"/>
      <c r="K446" s="121" t="n"/>
      <c r="L446" s="121" t="n"/>
      <c r="M446" s="121" t="n"/>
    </row>
    <row r="447" ht="18.75" customHeight="1" s="215">
      <c r="A447" s="152" t="n"/>
      <c r="B447" s="149" t="n">
        <v>430</v>
      </c>
      <c r="C447" s="223" t="inlineStr">
        <is>
          <t>NFF-430 – DUEÑO (restaurantes) - modo claro – Contenedor de tarjeta de restaurante: Fondo blanco puro, border-radius de 12px y sombra suave (box-shadow).</t>
        </is>
      </c>
      <c r="D447" s="218" t="n"/>
      <c r="E447" s="153" t="n"/>
      <c r="F447" s="55" t="inlineStr">
        <is>
          <t>x</t>
        </is>
      </c>
      <c r="G447" s="55" t="n"/>
      <c r="H447" s="55" t="n"/>
      <c r="I447" s="56" t="n"/>
      <c r="J447" s="121" t="n"/>
      <c r="K447" s="121" t="n"/>
      <c r="L447" s="121" t="n"/>
      <c r="M447" s="121" t="n"/>
    </row>
    <row r="448" ht="18.75" customHeight="1" s="215">
      <c r="A448" s="152" t="n"/>
      <c r="B448" s="149" t="n">
        <v>431</v>
      </c>
      <c r="C448" s="223" t="inlineStr">
        <is>
          <t>NFF-431 – DUEÑO (restaurantes) - modo claro – Imagen de cabecera de tarjeta: Imagen rectangular con bordes superiores redondeados que coinciden con el contenedor.</t>
        </is>
      </c>
      <c r="D448" s="218" t="n"/>
      <c r="E448" s="153" t="n"/>
      <c r="F448" s="55" t="inlineStr">
        <is>
          <t>x</t>
        </is>
      </c>
      <c r="G448" s="55" t="n"/>
      <c r="H448" s="55" t="n"/>
      <c r="I448" s="56" t="n"/>
      <c r="J448" s="121" t="n"/>
      <c r="K448" s="121" t="n"/>
      <c r="L448" s="121" t="n"/>
      <c r="M448" s="121" t="n"/>
    </row>
    <row r="449" ht="18.75" customHeight="1" s="215">
      <c r="A449" s="152" t="n"/>
      <c r="B449" s="149" t="n">
        <v>432</v>
      </c>
      <c r="C449" s="223" t="inlineStr">
        <is>
          <t>NFF-432 – DUEÑO (restaurantes) - modo claro – Etiqueta de estado (Activo): Fondo naranja sólido, texto blanco, forma de píldora (pill style), superpuesta en la esquina superior derecha de la imagen.</t>
        </is>
      </c>
      <c r="D449" s="218" t="n"/>
      <c r="E449" s="153" t="n"/>
      <c r="F449" s="55" t="inlineStr">
        <is>
          <t>x</t>
        </is>
      </c>
      <c r="G449" s="55" t="n"/>
      <c r="H449" s="55" t="n"/>
      <c r="I449" s="56" t="n"/>
      <c r="J449" s="121" t="n"/>
      <c r="K449" s="121" t="n"/>
      <c r="L449" s="121" t="n"/>
      <c r="M449" s="121" t="n"/>
    </row>
    <row r="450" ht="18.75" customHeight="1" s="215">
      <c r="A450" s="152" t="n"/>
      <c r="B450" s="149" t="n">
        <v>433</v>
      </c>
      <c r="C450" s="223" t="inlineStr">
        <is>
          <t>NFF-433 – DUEÑO (restaurantes) - modo claro – Título de restaurante: Texto en negro/gris oscuro, peso semi-bold, ubicado debajo de la imagen.</t>
        </is>
      </c>
      <c r="D450" s="218" t="n"/>
      <c r="E450" s="153" t="n"/>
      <c r="F450" s="55" t="inlineStr">
        <is>
          <t>x</t>
        </is>
      </c>
      <c r="G450" s="55" t="n"/>
      <c r="H450" s="55" t="n"/>
      <c r="I450" s="56" t="n"/>
      <c r="J450" s="121" t="n"/>
      <c r="K450" s="121" t="n"/>
      <c r="L450" s="121" t="n"/>
      <c r="M450" s="121" t="n"/>
    </row>
    <row r="451" ht="18.75" customHeight="1" s="215">
      <c r="A451" s="152" t="n"/>
      <c r="B451" s="149" t="n">
        <v>434</v>
      </c>
      <c r="C451" s="223" t="inlineStr">
        <is>
          <t>NFF-434 – DUEÑO (restaurantes) - modo claro – Indicador de calificación: Icono de estrella y número "0" en color naranja/dorado.</t>
        </is>
      </c>
      <c r="D451" s="218" t="n"/>
      <c r="E451" s="153" t="n"/>
      <c r="F451" s="55" t="inlineStr">
        <is>
          <t>x</t>
        </is>
      </c>
      <c r="G451" s="55" t="n"/>
      <c r="H451" s="55" t="n"/>
      <c r="I451" s="56" t="n"/>
      <c r="J451" s="121" t="n"/>
      <c r="K451" s="121" t="n"/>
      <c r="L451" s="121" t="n"/>
      <c r="M451" s="121" t="n"/>
    </row>
    <row r="452" ht="18.75" customHeight="1" s="215">
      <c r="A452" s="152" t="n"/>
      <c r="B452" s="149" t="n">
        <v>435</v>
      </c>
      <c r="C452" s="223" t="inlineStr">
        <is>
          <t>NFF-435 – DUEÑO (restaurantes) - modo claro – Iconos de detalle (Ubicación y Mesas): Iconos lineales en gris con texto descriptivo en gris medio al lado.</t>
        </is>
      </c>
      <c r="D452" s="218" t="n"/>
      <c r="E452" s="153" t="n"/>
      <c r="F452" s="55" t="inlineStr">
        <is>
          <t>x</t>
        </is>
      </c>
      <c r="G452" s="55" t="n"/>
      <c r="H452" s="55" t="n"/>
      <c r="I452" s="56" t="n"/>
      <c r="J452" s="121" t="n"/>
      <c r="K452" s="121" t="n"/>
      <c r="L452" s="121" t="n"/>
      <c r="M452" s="121" t="n"/>
    </row>
    <row r="453" ht="18.75" customHeight="1" s="215">
      <c r="A453" s="152" t="n"/>
      <c r="B453" s="149" t="n">
        <v>436</v>
      </c>
      <c r="C453" s="223" t="inlineStr">
        <is>
          <t>NFF-436 – DUEÑO (restaurantes) - modo claro – Barra de progreso/estado: Línea horizontal pequeña en color verde ubicada sobre los botones de acción.</t>
        </is>
      </c>
      <c r="D453" s="218" t="n"/>
      <c r="E453" s="153" t="n"/>
      <c r="F453" s="55" t="inlineStr">
        <is>
          <t>x</t>
        </is>
      </c>
      <c r="G453" s="55" t="n"/>
      <c r="H453" s="55" t="n"/>
      <c r="I453" s="56" t="n"/>
      <c r="J453" s="121" t="n"/>
      <c r="K453" s="121" t="n"/>
      <c r="L453" s="121" t="n"/>
      <c r="M453" s="121" t="n"/>
    </row>
    <row r="454" ht="18.75" customHeight="1" s="215">
      <c r="A454" s="152" t="n"/>
      <c r="B454" s="149" t="n">
        <v>437</v>
      </c>
      <c r="C454" s="223" t="inlineStr">
        <is>
          <t>NFF-437 – DUEÑO (restaurantes) - modo claro – Botón "Ver reservas": Fondo naranja sólido, texto blanco, border-radius de 8px, ancho parcial de la tarjeta.</t>
        </is>
      </c>
      <c r="D454" s="218" t="n"/>
      <c r="E454" s="153" t="n"/>
      <c r="F454" s="55" t="inlineStr">
        <is>
          <t>x</t>
        </is>
      </c>
      <c r="G454" s="55" t="n"/>
      <c r="H454" s="55" t="n"/>
      <c r="I454" s="56" t="n"/>
      <c r="J454" s="121" t="n"/>
      <c r="K454" s="121" t="n"/>
      <c r="L454" s="121" t="n"/>
      <c r="M454" s="121" t="n"/>
    </row>
    <row r="455" ht="18.75" customHeight="1" s="215">
      <c r="A455" s="152" t="n"/>
      <c r="B455" s="149" t="n">
        <v>438</v>
      </c>
      <c r="C455" s="223" t="inlineStr">
        <is>
          <t>NFF-438 – DUEÑO (restaurantes) - modo claro – Botón de configuración (Icono): Fondo gris muy claro, icono de engranaje oscuro, border-radius de 8px, forma cuadrada.</t>
        </is>
      </c>
      <c r="D455" s="218" t="n"/>
      <c r="E455" s="153" t="n"/>
      <c r="F455" s="55" t="inlineStr">
        <is>
          <t>x</t>
        </is>
      </c>
      <c r="G455" s="55" t="n"/>
      <c r="H455" s="55" t="n"/>
      <c r="I455" s="56" t="n"/>
      <c r="J455" s="121" t="n"/>
      <c r="K455" s="121" t="n"/>
      <c r="L455" s="121" t="n"/>
      <c r="M455" s="121" t="n"/>
    </row>
    <row r="456" ht="18.75" customHeight="1" s="215">
      <c r="A456" s="152" t="n"/>
      <c r="B456" s="149" t="n">
        <v>439</v>
      </c>
      <c r="C456" s="223" t="inlineStr">
        <is>
          <t>NFF-439 – DUEÑO (restaurantes) - modo claro – Ítem activo "Restaurantes" (Sidebar): Fondo naranja sólido, texto blanco y border-radius de 8px.</t>
        </is>
      </c>
      <c r="D456" s="218" t="n"/>
      <c r="E456" s="153" t="n"/>
      <c r="F456" s="55" t="inlineStr">
        <is>
          <t>x</t>
        </is>
      </c>
      <c r="G456" s="55" t="n"/>
      <c r="H456" s="55" t="n"/>
      <c r="I456" s="56" t="n"/>
      <c r="J456" s="121" t="n"/>
      <c r="K456" s="121" t="n"/>
      <c r="L456" s="121" t="n"/>
      <c r="M456" s="121" t="n"/>
    </row>
    <row r="457" ht="18.75" customHeight="1" s="215">
      <c r="A457" s="152" t="n"/>
      <c r="B457" s="149" t="n">
        <v>440</v>
      </c>
      <c r="C457" s="223" t="inlineStr">
        <is>
          <t>NFF-440 – DUEÑO (restaurantes) - modo claro – Fondo general de la aplicación: Color crema o beige muy claro (#f5f5f4).</t>
        </is>
      </c>
      <c r="D457" s="218" t="n"/>
      <c r="E457" s="153" t="n"/>
      <c r="F457" s="55" t="inlineStr">
        <is>
          <t>x</t>
        </is>
      </c>
      <c r="G457" s="55" t="n"/>
      <c r="H457" s="55" t="n"/>
      <c r="I457" s="56" t="n"/>
      <c r="J457" s="121" t="n"/>
      <c r="K457" s="121" t="n"/>
      <c r="L457" s="121" t="n"/>
      <c r="M457" s="121" t="n"/>
    </row>
    <row r="458" ht="18.75" customHeight="1" s="215">
      <c r="A458" s="152" t="n"/>
      <c r="B458" s="149" t="n">
        <v>441</v>
      </c>
      <c r="C458" s="223" t="inlineStr">
        <is>
          <t>NFF-441 – DUEÑO (facturas) - modo claro – Indicador de sección (Breadcrumb): Texto "Facturación" en gris oscuro, tamaño pequeño, ubicado sobre el título principal.</t>
        </is>
      </c>
      <c r="D458" s="218" t="n"/>
      <c r="E458" s="153" t="n"/>
      <c r="F458" s="55" t="inlineStr">
        <is>
          <t>x</t>
        </is>
      </c>
      <c r="G458" s="55" t="n"/>
      <c r="H458" s="55" t="n"/>
      <c r="I458" s="56" t="n"/>
      <c r="J458" s="121" t="n"/>
      <c r="K458" s="121" t="n"/>
      <c r="L458" s="121" t="n"/>
      <c r="M458" s="121" t="n"/>
    </row>
    <row r="459" ht="18.75" customHeight="1" s="215">
      <c r="A459" s="152" t="n"/>
      <c r="B459" s="149" t="n">
        <v>442</v>
      </c>
      <c r="C459" s="223" t="inlineStr">
        <is>
          <t>NFF-442 – DUEÑO (facturas) - modo claro – Título principal: "Buenas tardes" en azul oscuro profundo, peso bold y fuente sans-serif.</t>
        </is>
      </c>
      <c r="D459" s="218" t="n"/>
      <c r="E459" s="153" t="n"/>
      <c r="F459" s="55" t="inlineStr">
        <is>
          <t>x</t>
        </is>
      </c>
      <c r="G459" s="55" t="n"/>
      <c r="H459" s="55" t="n"/>
      <c r="I459" s="56" t="n"/>
      <c r="J459" s="121" t="n"/>
      <c r="K459" s="121" t="n"/>
      <c r="L459" s="121" t="n"/>
      <c r="M459" s="121" t="n"/>
    </row>
    <row r="460" ht="18.75" customHeight="1" s="215">
      <c r="A460" s="152" t="n"/>
      <c r="B460" s="149" t="n">
        <v>443</v>
      </c>
      <c r="C460" s="223" t="inlineStr">
        <is>
          <t>NFF-443 – DUEÑO (facturas) - modo claro – Subtítulo descriptivo: Texto gris medio ("Gestiona tu restaurante, reservas y facturación...") debajo del título principal.</t>
        </is>
      </c>
      <c r="D460" s="218" t="n"/>
      <c r="E460" s="153" t="n"/>
      <c r="F460" s="55" t="inlineStr">
        <is>
          <t>x</t>
        </is>
      </c>
      <c r="G460" s="55" t="n"/>
      <c r="H460" s="55" t="n"/>
      <c r="I460" s="56" t="n"/>
      <c r="J460" s="121" t="n"/>
      <c r="K460" s="121" t="n"/>
      <c r="L460" s="121" t="n"/>
      <c r="M460" s="121" t="n"/>
    </row>
    <row r="461" ht="18.75" customHeight="1" s="215">
      <c r="A461" s="152" t="n"/>
      <c r="B461" s="149" t="n">
        <v>444</v>
      </c>
      <c r="C461" s="223" t="inlineStr">
        <is>
          <t>NFF-444 – DUEÑO (facturas) - modo claro – Contador de elementos: Texto "0 facturas" en gris, fuente pequeña, ubicado sobre el margen superior de la tarjeta principal.</t>
        </is>
      </c>
      <c r="D461" s="218" t="n"/>
      <c r="E461" s="153" t="n"/>
      <c r="F461" s="55" t="inlineStr">
        <is>
          <t>x</t>
        </is>
      </c>
      <c r="G461" s="55" t="n"/>
      <c r="H461" s="55" t="n"/>
      <c r="I461" s="56" t="n"/>
      <c r="J461" s="121" t="n"/>
      <c r="K461" s="121" t="n"/>
      <c r="L461" s="121" t="n"/>
      <c r="M461" s="121" t="n"/>
    </row>
    <row r="462" ht="18.75" customHeight="1" s="215">
      <c r="A462" s="152" t="n"/>
      <c r="B462" s="149" t="n">
        <v>445</v>
      </c>
      <c r="C462" s="223" t="inlineStr">
        <is>
          <t>NFF-445 – DUEÑO (facturas) - modo claro – Contenedor de tarjeta principal (Facturas): Fondo blanco puro, border-radius de 12px y sombra suave (box-shadow).</t>
        </is>
      </c>
      <c r="D462" s="218" t="n"/>
      <c r="E462" s="153" t="n"/>
      <c r="F462" s="55" t="inlineStr">
        <is>
          <t>x</t>
        </is>
      </c>
      <c r="G462" s="55" t="n"/>
      <c r="H462" s="55" t="n"/>
      <c r="I462" s="56" t="n"/>
      <c r="J462" s="121" t="n"/>
      <c r="K462" s="121" t="n"/>
      <c r="L462" s="121" t="n"/>
      <c r="M462" s="121" t="n"/>
    </row>
    <row r="463" ht="18.75" customHeight="1" s="215">
      <c r="A463" s="152" t="n"/>
      <c r="B463" s="149" t="n">
        <v>446</v>
      </c>
      <c r="C463" s="223" t="inlineStr">
        <is>
          <t>NFF-446 – DUEÑO (facturas) - modo claro – Encabezado de la tarjeta: Título "Facturas recientes" en azul oscuro y subtítulo descriptivo en gris medio.</t>
        </is>
      </c>
      <c r="D463" s="218" t="n"/>
      <c r="E463" s="153" t="n"/>
      <c r="F463" s="55" t="inlineStr">
        <is>
          <t>x</t>
        </is>
      </c>
      <c r="G463" s="55" t="n"/>
      <c r="H463" s="55" t="n"/>
      <c r="I463" s="56" t="n"/>
      <c r="J463" s="121" t="n"/>
      <c r="K463" s="121" t="n"/>
      <c r="L463" s="121" t="n"/>
      <c r="M463" s="121" t="n"/>
    </row>
    <row r="464" ht="18.75" customHeight="1" s="215">
      <c r="A464" s="152" t="n"/>
      <c r="B464" s="149" t="n">
        <v>447</v>
      </c>
      <c r="C464" s="223" t="inlineStr">
        <is>
          <t>NFF-447 – DUEÑO (facturas) - modo claro – Fila de encabezado de tabla: Fondo gris muy claro con etiquetas en gris medio y peso semi-bold.</t>
        </is>
      </c>
      <c r="D464" s="218" t="n"/>
      <c r="E464" s="153" t="n"/>
      <c r="F464" s="55" t="inlineStr">
        <is>
          <t>x</t>
        </is>
      </c>
      <c r="G464" s="55" t="n"/>
      <c r="H464" s="55" t="n"/>
      <c r="I464" s="56" t="n"/>
      <c r="J464" s="121" t="n"/>
      <c r="K464" s="121" t="n"/>
      <c r="L464" s="121" t="n"/>
      <c r="M464" s="121" t="n"/>
    </row>
    <row r="465" ht="18.75" customHeight="1" s="215">
      <c r="A465" s="152" t="n"/>
      <c r="B465" s="149" t="n">
        <v>448</v>
      </c>
      <c r="C465" s="223" t="inlineStr">
        <is>
          <t>NFF-448 – DUEÑO (facturas) - modo claro – Columnas de la tabla: "Número", "Restaurante", "Monto", "Fecha", "Vencimiento", "Estado" y "Acciones".</t>
        </is>
      </c>
      <c r="D465" s="218" t="n"/>
      <c r="E465" s="153" t="n"/>
      <c r="F465" s="55" t="inlineStr">
        <is>
          <t>x</t>
        </is>
      </c>
      <c r="G465" s="55" t="n"/>
      <c r="H465" s="55" t="n"/>
      <c r="I465" s="56" t="n"/>
      <c r="J465" s="121" t="n"/>
      <c r="K465" s="121" t="n"/>
      <c r="L465" s="121" t="n"/>
      <c r="M465" s="121" t="n"/>
    </row>
    <row r="466" ht="18.75" customHeight="1" s="215">
      <c r="A466" s="152" t="n"/>
      <c r="B466" s="149" t="n">
        <v>449</v>
      </c>
      <c r="C466" s="223" t="inlineStr">
        <is>
          <t>NFF-449 – DUEÑO (facturas) - modo claro – Cuerpo de la tabla: Espacio vacío con fondo blanco uniforme debajo del encabezado.</t>
        </is>
      </c>
      <c r="D466" s="218" t="n"/>
      <c r="E466" s="153" t="n"/>
      <c r="F466" s="55" t="inlineStr">
        <is>
          <t>x</t>
        </is>
      </c>
      <c r="G466" s="55" t="n"/>
      <c r="H466" s="55" t="n"/>
      <c r="I466" s="56" t="n"/>
      <c r="J466" s="121" t="n"/>
      <c r="K466" s="121" t="n"/>
      <c r="L466" s="121" t="n"/>
      <c r="M466" s="121" t="n"/>
    </row>
    <row r="467" ht="18.75" customHeight="1" s="215">
      <c r="A467" s="152" t="n"/>
      <c r="B467" s="149" t="n">
        <v>450</v>
      </c>
      <c r="C467" s="223" t="inlineStr">
        <is>
          <t>NFF-450 – DUEÑO (facturas) - modo claro – Ítem activo "Facturas" (Sidebar): Fondo naranja sólido (#f97316), texto blanco puro y border-radius de 8px.</t>
        </is>
      </c>
      <c r="D467" s="218" t="n"/>
      <c r="E467" s="153" t="n"/>
      <c r="F467" s="55" t="inlineStr">
        <is>
          <t>x</t>
        </is>
      </c>
      <c r="G467" s="55" t="n"/>
      <c r="H467" s="55" t="n"/>
      <c r="I467" s="56" t="n"/>
      <c r="J467" s="121" t="n"/>
      <c r="K467" s="121" t="n"/>
      <c r="L467" s="121" t="n"/>
      <c r="M467" s="121" t="n"/>
    </row>
    <row r="468" ht="18.75" customHeight="1" s="215">
      <c r="A468" s="152" t="n"/>
      <c r="B468" s="149" t="n">
        <v>451</v>
      </c>
      <c r="C468" s="223" t="inlineStr">
        <is>
          <t>NFF-451 – DUEÑO (facturas) - modo claro – Bloque de perfil de usuario (Sidebar): Fondo gris muy suave (#f3f4f6), avatar circular naranja con letra "D" blanca.</t>
        </is>
      </c>
      <c r="D468" s="218" t="n"/>
      <c r="E468" s="153" t="n"/>
      <c r="F468" s="55" t="inlineStr">
        <is>
          <t>x</t>
        </is>
      </c>
      <c r="G468" s="55" t="n"/>
      <c r="H468" s="55" t="n"/>
      <c r="I468" s="56" t="n"/>
      <c r="J468" s="121" t="n"/>
      <c r="K468" s="121" t="n"/>
      <c r="L468" s="121" t="n"/>
      <c r="M468" s="121" t="n"/>
    </row>
    <row r="469" ht="18.75" customHeight="1" s="215">
      <c r="A469" s="152" t="n"/>
      <c r="B469" s="149" t="n">
        <v>452</v>
      </c>
      <c r="C469" s="223" t="inlineStr">
        <is>
          <t>NFF-452 – DUEÑO (facturas) - modo claro – Fondo general de la aplicación: Color crema o beige muy claro (#f5f5f4).</t>
        </is>
      </c>
      <c r="D469" s="218" t="n"/>
      <c r="E469" s="153" t="n"/>
      <c r="F469" s="55" t="inlineStr">
        <is>
          <t>x</t>
        </is>
      </c>
      <c r="G469" s="55" t="n"/>
      <c r="H469" s="55" t="n"/>
      <c r="I469" s="56" t="n"/>
      <c r="J469" s="121" t="n"/>
      <c r="K469" s="121" t="n"/>
      <c r="L469" s="121" t="n"/>
      <c r="M469" s="121" t="n"/>
    </row>
    <row r="470" ht="18.75" customHeight="1" s="215">
      <c r="A470" s="152" t="n"/>
      <c r="B470" s="149" t="n">
        <v>453</v>
      </c>
      <c r="C470" s="223" t="inlineStr">
        <is>
          <t>NFF-453 – DUEÑO (flujo diario) - modo claro – Fondo general de la interfaz: Color crema o beige muy claro (#f5f5f4 aprox.).</t>
        </is>
      </c>
      <c r="D470" s="218" t="n"/>
      <c r="E470" s="153" t="n"/>
      <c r="F470" s="55" t="inlineStr">
        <is>
          <t>x</t>
        </is>
      </c>
      <c r="G470" s="55" t="n"/>
      <c r="H470" s="55" t="n"/>
      <c r="I470" s="56" t="n"/>
      <c r="J470" s="121" t="n"/>
      <c r="K470" s="121" t="n"/>
      <c r="L470" s="121" t="n"/>
      <c r="M470" s="121" t="n"/>
    </row>
    <row r="471" ht="18.75" customHeight="1" s="215">
      <c r="A471" s="152" t="n"/>
      <c r="B471" s="149" t="n">
        <v>454</v>
      </c>
      <c r="C471" s="223" t="inlineStr">
        <is>
          <t>NFF-454 – DUEÑO (flujo diario) - modo claro – Barra lateral (Sidebar): Fondo blanco puro con un borde derecho gris muy tenue para separación.</t>
        </is>
      </c>
      <c r="D471" s="218" t="n"/>
      <c r="E471" s="153" t="n"/>
      <c r="F471" s="55" t="inlineStr">
        <is>
          <t>x</t>
        </is>
      </c>
      <c r="G471" s="55" t="n"/>
      <c r="H471" s="55" t="n"/>
      <c r="I471" s="56" t="n"/>
      <c r="J471" s="121" t="n"/>
      <c r="K471" s="121" t="n"/>
      <c r="L471" s="121" t="n"/>
      <c r="M471" s="121" t="n"/>
    </row>
    <row r="472" ht="18.75" customHeight="1" s="215">
      <c r="A472" s="152" t="n"/>
      <c r="B472" s="149" t="n">
        <v>455</v>
      </c>
      <c r="C472" s="223" t="inlineStr">
        <is>
          <t>NFF-455 – DUEÑO (flujo diario) - modo claro – Ítem activo "Flujo diario" (Sidebar): Fondo naranja sólido (#f97316), texto blanco puro y border-radius de 8px.</t>
        </is>
      </c>
      <c r="D472" s="218" t="n"/>
      <c r="E472" s="153" t="n"/>
      <c r="F472" s="55" t="inlineStr">
        <is>
          <t>x</t>
        </is>
      </c>
      <c r="G472" s="55" t="n"/>
      <c r="H472" s="55" t="n"/>
      <c r="I472" s="56" t="n"/>
      <c r="J472" s="121" t="n"/>
      <c r="K472" s="121" t="n"/>
      <c r="L472" s="121" t="n"/>
      <c r="M472" s="121" t="n"/>
    </row>
    <row r="473" ht="18.75" customHeight="1" s="215">
      <c r="A473" s="152" t="n"/>
      <c r="B473" s="149" t="n">
        <v>456</v>
      </c>
      <c r="C473" s="223" t="inlineStr">
        <is>
          <t>NFF-456 – DUEÑO (flujo diario) - modo claro – Ítems inactivos (Sidebar): Texto gris medio con iconos lineales sencillos en gris.</t>
        </is>
      </c>
      <c r="D473" s="218" t="n"/>
      <c r="E473" s="153" t="n"/>
      <c r="F473" s="55" t="inlineStr">
        <is>
          <t>x</t>
        </is>
      </c>
      <c r="G473" s="55" t="n"/>
      <c r="H473" s="55" t="n"/>
      <c r="I473" s="56" t="n"/>
      <c r="J473" s="121" t="n"/>
      <c r="K473" s="121" t="n"/>
      <c r="L473" s="121" t="n"/>
      <c r="M473" s="121" t="n"/>
    </row>
    <row r="474" ht="18.75" customHeight="1" s="215">
      <c r="A474" s="152" t="n"/>
      <c r="B474" s="149" t="n">
        <v>457</v>
      </c>
      <c r="C474" s="223" t="inlineStr">
        <is>
          <t>NFF-457 – DUEÑO (flujo diario) - modo claro – Bloque de perfil de usuario (Sidebar): Fondo gris muy suave (#f3f4f6), avatar circular naranja con letra "D" blanca.</t>
        </is>
      </c>
      <c r="D474" s="218" t="n"/>
      <c r="E474" s="153" t="n"/>
      <c r="F474" s="55" t="inlineStr">
        <is>
          <t>x</t>
        </is>
      </c>
      <c r="G474" s="55" t="n"/>
      <c r="H474" s="55" t="n"/>
      <c r="I474" s="56" t="n"/>
      <c r="J474" s="121" t="n"/>
      <c r="K474" s="121" t="n"/>
      <c r="L474" s="121" t="n"/>
      <c r="M474" s="121" t="n"/>
    </row>
    <row r="475" ht="18.75" customHeight="1" s="215">
      <c r="A475" s="152" t="n"/>
      <c r="B475" s="149" t="n">
        <v>458</v>
      </c>
      <c r="C475" s="223" t="inlineStr">
        <is>
          <t>NFF-458 – DUEÑO (flujo diario) - modo claro – Indicador de sección (Breadcrumb): Texto "Flujo diario" en gris oscuro, tamaño pequeño, ubicado sobre el título principal.</t>
        </is>
      </c>
      <c r="D475" s="218" t="n"/>
      <c r="E475" s="153" t="n"/>
      <c r="F475" s="55" t="inlineStr">
        <is>
          <t>x</t>
        </is>
      </c>
      <c r="G475" s="55" t="n"/>
      <c r="H475" s="55" t="n"/>
      <c r="I475" s="56" t="n"/>
      <c r="J475" s="121" t="n"/>
      <c r="K475" s="121" t="n"/>
      <c r="L475" s="121" t="n"/>
      <c r="M475" s="121" t="n"/>
    </row>
    <row r="476" ht="18.75" customHeight="1" s="215">
      <c r="A476" s="152" t="n"/>
      <c r="B476" s="149" t="n">
        <v>459</v>
      </c>
      <c r="C476" s="223" t="inlineStr">
        <is>
          <t>NFF-459 – DUEÑO (flujo diario) - modo claro – Título principal "Buenas tardes": Texto en azul oscuro profundo, peso bold y fuente sans-serif.</t>
        </is>
      </c>
      <c r="D476" s="218" t="n"/>
      <c r="E476" s="153" t="n"/>
      <c r="F476" s="55" t="inlineStr">
        <is>
          <t>x</t>
        </is>
      </c>
      <c r="G476" s="55" t="n"/>
      <c r="H476" s="55" t="n"/>
      <c r="I476" s="56" t="n"/>
      <c r="J476" s="121" t="n"/>
      <c r="K476" s="121" t="n"/>
      <c r="L476" s="121" t="n"/>
      <c r="M476" s="121" t="n"/>
    </row>
    <row r="477" ht="18.75" customHeight="1" s="215">
      <c r="A477" s="152" t="n"/>
      <c r="B477" s="149" t="n">
        <v>460</v>
      </c>
      <c r="C477" s="223" t="inlineStr">
        <is>
          <t>NFF-460 – DUEÑO (flujo diario) - modo claro – Subtítulo de vista: "Flujo diario / Análisis de clientes por hora" en gris medio, alineado a la izquierda.</t>
        </is>
      </c>
      <c r="D477" s="218" t="n"/>
      <c r="E477" s="153" t="n"/>
      <c r="F477" s="55" t="inlineStr">
        <is>
          <t>x</t>
        </is>
      </c>
      <c r="G477" s="55" t="n"/>
      <c r="H477" s="55" t="n"/>
      <c r="I477" s="56" t="n"/>
      <c r="J477" s="121" t="n"/>
      <c r="K477" s="121" t="n"/>
      <c r="L477" s="121" t="n"/>
      <c r="M477" s="121" t="n"/>
    </row>
    <row r="478" ht="18.75" customHeight="1" s="215">
      <c r="A478" s="152" t="n"/>
      <c r="B478" s="149" t="n">
        <v>461</v>
      </c>
      <c r="C478" s="223" t="inlineStr">
        <is>
          <t>NFF-461 – DUEÑO (flujo diario) - modo claro – Tarjetas de métricas (Total clientes, Con reserva, Sin reserva): Fondo blanco puro, border-radius de 12px y sombra suave (box-shadow).</t>
        </is>
      </c>
      <c r="D478" s="218" t="n"/>
      <c r="E478" s="153" t="n"/>
      <c r="F478" s="55" t="inlineStr">
        <is>
          <t>x</t>
        </is>
      </c>
      <c r="G478" s="55" t="n"/>
      <c r="H478" s="55" t="n"/>
      <c r="I478" s="56" t="n"/>
      <c r="J478" s="121" t="n"/>
      <c r="K478" s="121" t="n"/>
      <c r="L478" s="121" t="n"/>
      <c r="M478" s="121" t="n"/>
    </row>
    <row r="479" ht="18.75" customHeight="1" s="215">
      <c r="A479" s="152" t="n"/>
      <c r="B479" s="149" t="n">
        <v>462</v>
      </c>
      <c r="C479" s="223" t="inlineStr">
        <is>
          <t>NFF-462 – DUEÑO (flujo diario) - modo claro – Títulos de métricas en tarjetas: Texto en gris oscuro, peso regular y tamaño de fuente pequeño.</t>
        </is>
      </c>
      <c r="D479" s="218" t="n"/>
      <c r="E479" s="153" t="n"/>
      <c r="F479" s="55" t="inlineStr">
        <is>
          <t>x</t>
        </is>
      </c>
      <c r="G479" s="55" t="n"/>
      <c r="H479" s="55" t="n"/>
      <c r="I479" s="56" t="n"/>
      <c r="J479" s="121" t="n"/>
      <c r="K479" s="121" t="n"/>
      <c r="L479" s="121" t="n"/>
      <c r="M479" s="121" t="n"/>
    </row>
    <row r="480" ht="18.75" customHeight="1" s="215">
      <c r="A480" s="152" t="n"/>
      <c r="B480" s="149" t="n">
        <v>463</v>
      </c>
      <c r="C480" s="223" t="inlineStr">
        <is>
          <t>NFF-463 – DUEÑO (flujo diario) - modo claro – Valores numéricos de métricas: Número "0" en negro/azul oscuro, tamaño de fuente grande y peso bold.</t>
        </is>
      </c>
      <c r="D480" s="218" t="n"/>
      <c r="E480" s="153" t="n"/>
      <c r="F480" s="55" t="inlineStr">
        <is>
          <t>x</t>
        </is>
      </c>
      <c r="G480" s="55" t="n"/>
      <c r="H480" s="55" t="n"/>
      <c r="I480" s="56" t="n"/>
      <c r="J480" s="121" t="n"/>
      <c r="K480" s="121" t="n"/>
      <c r="L480" s="121" t="n"/>
      <c r="M480" s="121" t="n"/>
    </row>
    <row r="481" ht="18.75" customHeight="1" s="215">
      <c r="A481" s="152" t="n"/>
      <c r="B481" s="149" t="n">
        <v>464</v>
      </c>
      <c r="C481" s="223" t="inlineStr">
        <is>
          <t>NFF-464 – DUEÑO (flujo diario) - modo claro – Etiquetas de subtexto en métricas: Texto gris medio ("Hasta ahora", "0% del total") debajo de los valores numéricos.</t>
        </is>
      </c>
      <c r="D481" s="218" t="n"/>
      <c r="E481" s="153" t="n"/>
      <c r="F481" s="55" t="inlineStr">
        <is>
          <t>x</t>
        </is>
      </c>
      <c r="G481" s="55" t="n"/>
      <c r="H481" s="55" t="n"/>
      <c r="I481" s="56" t="n"/>
      <c r="J481" s="121" t="n"/>
      <c r="K481" s="121" t="n"/>
      <c r="L481" s="121" t="n"/>
      <c r="M481" s="121" t="n"/>
    </row>
    <row r="482" ht="18.75" customHeight="1" s="215">
      <c r="A482" s="152" t="n"/>
      <c r="B482" s="149" t="n">
        <v>465</v>
      </c>
      <c r="C482" s="223" t="inlineStr">
        <is>
          <t>NFF-465 – DUEÑO (flujo diario) - modo claro – Tarjeta de detalle "Flujo por horas": Fondo blanco puro, border-radius de 12px y borde gris claro perimetral.</t>
        </is>
      </c>
      <c r="D482" s="218" t="n"/>
      <c r="E482" s="153" t="n"/>
      <c r="F482" s="55" t="inlineStr">
        <is>
          <t>x</t>
        </is>
      </c>
      <c r="G482" s="55" t="n"/>
      <c r="H482" s="55" t="n"/>
      <c r="I482" s="56" t="n"/>
      <c r="J482" s="121" t="n"/>
      <c r="K482" s="121" t="n"/>
      <c r="L482" s="121" t="n"/>
      <c r="M482" s="121" t="n"/>
    </row>
    <row r="483" ht="18.75" customHeight="1" s="215">
      <c r="A483" s="152" t="n"/>
      <c r="B483" s="149" t="n">
        <v>466</v>
      </c>
      <c r="C483" s="223" t="inlineStr">
        <is>
          <t>NFF-466 – DUEÑO (flujo diario) - modo claro – Encabezado de tarjeta de detalle: Título "Flujo por horas" en negro y subtítulo descriptivo en gris medio.</t>
        </is>
      </c>
      <c r="D483" s="218" t="n"/>
      <c r="E483" s="153" t="n"/>
      <c r="F483" s="55" t="inlineStr">
        <is>
          <t>x</t>
        </is>
      </c>
      <c r="G483" s="55" t="n"/>
      <c r="H483" s="55" t="n"/>
      <c r="I483" s="56" t="n"/>
      <c r="J483" s="121" t="n"/>
      <c r="K483" s="121" t="n"/>
      <c r="L483" s="121" t="n"/>
      <c r="M483" s="121" t="n"/>
    </row>
    <row r="484" ht="18.75" customHeight="1" s="215">
      <c r="A484" s="152" t="n"/>
      <c r="B484" s="149" t="n">
        <v>467</v>
      </c>
      <c r="C484" s="223" t="inlineStr">
        <is>
          <t>NFF-467 – DUEÑO (flujo diario) - modo claro – Aviso de datos vacíos en gráfico: Texto "No hay datos de flujo diario." en gris medio, centrado horizontal y verticalmente.</t>
        </is>
      </c>
      <c r="D484" s="218" t="n"/>
      <c r="E484" s="153" t="n"/>
      <c r="F484" s="55" t="inlineStr">
        <is>
          <t>x</t>
        </is>
      </c>
      <c r="G484" s="55" t="n"/>
      <c r="H484" s="55" t="n"/>
      <c r="I484" s="56" t="n"/>
      <c r="J484" s="121" t="n"/>
      <c r="K484" s="121" t="n"/>
      <c r="L484" s="121" t="n"/>
      <c r="M484" s="121" t="n"/>
    </row>
    <row r="485" ht="18.75" customHeight="1" s="215">
      <c r="A485" s="152" t="n"/>
      <c r="B485" s="149" t="n">
        <v>468</v>
      </c>
      <c r="C485" s="223" t="inlineStr">
        <is>
          <t>NFF-468 – DUEÑO (empleados) - modo claro – Indicador de sección (Breadcrumb): Texto "Empleados" en gris oscuro, tamaño pequeño, ubicado sobre el título principal.</t>
        </is>
      </c>
      <c r="D485" s="218" t="n"/>
      <c r="E485" s="153" t="n"/>
      <c r="F485" s="55" t="inlineStr">
        <is>
          <t>x</t>
        </is>
      </c>
      <c r="G485" s="55" t="n"/>
      <c r="H485" s="55" t="n"/>
      <c r="I485" s="56" t="n"/>
      <c r="J485" s="121" t="n"/>
      <c r="K485" s="121" t="n"/>
      <c r="L485" s="121" t="n"/>
      <c r="M485" s="121" t="n"/>
    </row>
    <row r="486" ht="18.75" customHeight="1" s="215">
      <c r="A486" s="152" t="n"/>
      <c r="B486" s="149" t="n">
        <v>469</v>
      </c>
      <c r="C486" s="223" t="inlineStr">
        <is>
          <t>NFF-469 – DUEÑO (empleados) - modo claro – Título principal "Buenas tardes": Texto en azul oscuro profundo, peso bold y fuente sans-serif.</t>
        </is>
      </c>
      <c r="D486" s="218" t="n"/>
      <c r="E486" s="153" t="n"/>
      <c r="F486" s="55" t="inlineStr">
        <is>
          <t>x</t>
        </is>
      </c>
      <c r="G486" s="55" t="n"/>
      <c r="H486" s="55" t="n"/>
      <c r="I486" s="56" t="n"/>
      <c r="J486" s="121" t="n"/>
      <c r="K486" s="121" t="n"/>
      <c r="L486" s="121" t="n"/>
      <c r="M486" s="121" t="n"/>
    </row>
    <row r="487" ht="18.75" customHeight="1" s="215">
      <c r="A487" s="152" t="n"/>
      <c r="B487" s="149" t="n">
        <v>470</v>
      </c>
      <c r="C487" s="223" t="inlineStr">
        <is>
          <t>NFF-470 – DUEÑO (empleados) - modo claro – Subtítulo descriptivo de cabecera: Texto gris medio ("Gestiona tu restaurante, reservas y facturación...") debajo del título principal.</t>
        </is>
      </c>
      <c r="D487" s="218" t="n"/>
      <c r="E487" s="153" t="n"/>
      <c r="F487" s="55" t="inlineStr">
        <is>
          <t>x</t>
        </is>
      </c>
      <c r="G487" s="55" t="n"/>
      <c r="H487" s="55" t="n"/>
      <c r="I487" s="56" t="n"/>
      <c r="J487" s="121" t="n"/>
      <c r="K487" s="121" t="n"/>
      <c r="L487" s="121" t="n"/>
      <c r="M487" s="121" t="n"/>
    </row>
    <row r="488" ht="18.75" customHeight="1" s="215">
      <c r="A488" s="152" t="n"/>
      <c r="B488" s="149" t="n">
        <v>471</v>
      </c>
      <c r="C488" s="223" t="inlineStr">
        <is>
          <t>NFF-471 – DUEÑO (empleados) - modo claro – Título de sección "Empleados": Texto en negro/gris oscuro con subtexto "Personas asignadas a tus restaurantes..." en gris medio.</t>
        </is>
      </c>
      <c r="D488" s="218" t="n"/>
      <c r="E488" s="153" t="n"/>
      <c r="F488" s="55" t="inlineStr">
        <is>
          <t>x</t>
        </is>
      </c>
      <c r="G488" s="55" t="n"/>
      <c r="H488" s="55" t="n"/>
      <c r="I488" s="56" t="n"/>
      <c r="J488" s="121" t="n"/>
      <c r="K488" s="121" t="n"/>
      <c r="L488" s="121" t="n"/>
      <c r="M488" s="121" t="n"/>
    </row>
    <row r="489" ht="18.75" customHeight="1" s="215">
      <c r="A489" s="152" t="n"/>
      <c r="B489" s="149" t="n">
        <v>472</v>
      </c>
      <c r="C489" s="223" t="inlineStr">
        <is>
          <t>NFF-472 – DUEÑO (empleados) - modo claro – Tarjetas de perfil de empleado: Fondo blanco puro, border-radius de 12px y sombra suave (box-shadow).</t>
        </is>
      </c>
      <c r="D489" s="218" t="n"/>
      <c r="E489" s="153" t="n"/>
      <c r="F489" s="55" t="inlineStr">
        <is>
          <t>x</t>
        </is>
      </c>
      <c r="G489" s="55" t="n"/>
      <c r="H489" s="55" t="n"/>
      <c r="I489" s="56" t="n"/>
      <c r="J489" s="121" t="n"/>
      <c r="K489" s="121" t="n"/>
      <c r="L489" s="121" t="n"/>
      <c r="M489" s="121" t="n"/>
    </row>
    <row r="490" ht="18.75" customHeight="1" s="215">
      <c r="A490" s="152" t="n"/>
      <c r="B490" s="149" t="n">
        <v>473</v>
      </c>
      <c r="C490" s="223" t="inlineStr">
        <is>
          <t>NFF-473 – DUEÑO (empleados) - modo claro – Información en tarjeta de empleado: Nombre en negro (bold), correo electrónico y restaurante asignado en gris medio.</t>
        </is>
      </c>
      <c r="D490" s="218" t="n"/>
      <c r="E490" s="153" t="n"/>
      <c r="F490" s="55" t="inlineStr">
        <is>
          <t>x</t>
        </is>
      </c>
      <c r="G490" s="55" t="n"/>
      <c r="H490" s="55" t="n"/>
      <c r="I490" s="56" t="n"/>
      <c r="J490" s="121" t="n"/>
      <c r="K490" s="121" t="n"/>
      <c r="L490" s="121" t="n"/>
      <c r="M490" s="121" t="n"/>
    </row>
    <row r="491" ht="18.75" customHeight="1" s="215">
      <c r="A491" s="152" t="n"/>
      <c r="B491" s="149" t="n">
        <v>474</v>
      </c>
      <c r="C491" s="223" t="inlineStr">
        <is>
          <t>NFF-474 – DUEÑO (empleados) - modo claro – Etiquetas de rol (Badges): Fondo de color tenue (naranja/rojo claro) con texto descriptivo ("administrador" o "empleado"), estilo píldora.</t>
        </is>
      </c>
      <c r="D491" s="218" t="n"/>
      <c r="E491" s="153" t="n"/>
      <c r="F491" s="55" t="inlineStr">
        <is>
          <t>x</t>
        </is>
      </c>
      <c r="G491" s="55" t="n"/>
      <c r="H491" s="55" t="n"/>
      <c r="I491" s="56" t="n"/>
      <c r="J491" s="121" t="n"/>
      <c r="K491" s="121" t="n"/>
      <c r="L491" s="121" t="n"/>
      <c r="M491" s="121" t="n"/>
    </row>
    <row r="492" ht="18.75" customHeight="1" s="215">
      <c r="A492" s="152" t="n"/>
      <c r="B492" s="149" t="n">
        <v>475</v>
      </c>
      <c r="C492" s="223" t="inlineStr">
        <is>
          <t>NFF-475 – DUEÑO (empleados) - modo claro – Título de sección "Reservas aceptadas": Texto en negro con subtexto "Todas las reservas confirmadas..." en gris medio.</t>
        </is>
      </c>
      <c r="D492" s="218" t="n"/>
      <c r="E492" s="153" t="n"/>
      <c r="F492" s="55" t="inlineStr">
        <is>
          <t>x</t>
        </is>
      </c>
      <c r="G492" s="55" t="n"/>
      <c r="H492" s="55" t="n"/>
      <c r="I492" s="56" t="n"/>
      <c r="J492" s="121" t="n"/>
      <c r="K492" s="121" t="n"/>
      <c r="L492" s="121" t="n"/>
      <c r="M492" s="121" t="n"/>
    </row>
    <row r="493" ht="18.75" customHeight="1" s="215">
      <c r="A493" s="152" t="n"/>
      <c r="B493" s="149" t="n">
        <v>476</v>
      </c>
      <c r="C493" s="223" t="inlineStr">
        <is>
          <t>NFF-476 – DUEÑO (empleados) - modo claro – Contenedor de tabla de reservas: Fondo blanco puro, border-radius de 12px y sombra suave perimetral.</t>
        </is>
      </c>
      <c r="D493" s="218" t="n"/>
      <c r="E493" s="153" t="n"/>
      <c r="F493" s="55" t="inlineStr">
        <is>
          <t>x</t>
        </is>
      </c>
      <c r="G493" s="55" t="n"/>
      <c r="H493" s="55" t="n"/>
      <c r="I493" s="56" t="n"/>
      <c r="J493" s="121" t="n"/>
      <c r="K493" s="121" t="n"/>
      <c r="L493" s="121" t="n"/>
      <c r="M493" s="121" t="n"/>
    </row>
    <row r="494" ht="18.75" customHeight="1" s="215">
      <c r="A494" s="152" t="n"/>
      <c r="B494" s="149" t="n">
        <v>477</v>
      </c>
      <c r="C494" s="223" t="inlineStr">
        <is>
          <t>NFF-477 – DUEÑO (empleados) - modo claro – Encabezado de tabla de reservas: Fondo gris muy claro con etiquetas de columna en gris medio y peso semi-bold.</t>
        </is>
      </c>
      <c r="D494" s="218" t="n"/>
      <c r="E494" s="153" t="n"/>
      <c r="F494" s="55" t="inlineStr">
        <is>
          <t>x</t>
        </is>
      </c>
      <c r="G494" s="55" t="n"/>
      <c r="H494" s="55" t="n"/>
      <c r="I494" s="56" t="n"/>
      <c r="J494" s="121" t="n"/>
      <c r="K494" s="121" t="n"/>
      <c r="L494" s="121" t="n"/>
      <c r="M494" s="121" t="n"/>
    </row>
    <row r="495" ht="18.75" customHeight="1" s="215">
      <c r="A495" s="152" t="n"/>
      <c r="B495" s="149" t="n">
        <v>478</v>
      </c>
      <c r="C495" s="223" t="inlineStr">
        <is>
          <t>NFF-478 – DUEÑO (empleados) - modo claro – Columnas de la tabla: "Fecha", "Hora", "Restaurante", "Cliente", "Comensales" y "Teléfono".</t>
        </is>
      </c>
      <c r="D495" s="218" t="n"/>
      <c r="E495" s="153" t="n"/>
      <c r="F495" s="55" t="inlineStr">
        <is>
          <t>x</t>
        </is>
      </c>
      <c r="G495" s="55" t="n"/>
      <c r="H495" s="55" t="n"/>
      <c r="I495" s="56" t="n"/>
      <c r="J495" s="121" t="n"/>
      <c r="K495" s="121" t="n"/>
      <c r="L495" s="121" t="n"/>
      <c r="M495" s="121" t="n"/>
    </row>
    <row r="496" ht="18.75" customHeight="1" s="215">
      <c r="A496" s="152" t="n"/>
      <c r="B496" s="149" t="n">
        <v>479</v>
      </c>
      <c r="C496" s="223" t="inlineStr">
        <is>
          <t>NFF-479 – DUEÑO (empleados) - modo claro – Ítem activo "Empleados" (Sidebar): Fondo naranja sólido (#f97316), texto blanco puro y border-radius de 8px.</t>
        </is>
      </c>
      <c r="D496" s="218" t="n"/>
      <c r="E496" s="153" t="n"/>
      <c r="F496" s="55" t="inlineStr">
        <is>
          <t>x</t>
        </is>
      </c>
      <c r="G496" s="55" t="n"/>
      <c r="H496" s="55" t="n"/>
      <c r="I496" s="56" t="n"/>
      <c r="J496" s="121" t="n"/>
      <c r="K496" s="121" t="n"/>
      <c r="L496" s="121" t="n"/>
      <c r="M496" s="121" t="n"/>
    </row>
    <row r="497" ht="18.75" customHeight="1" s="215">
      <c r="A497" s="152" t="n"/>
      <c r="B497" s="149" t="n">
        <v>480</v>
      </c>
      <c r="C497" s="223" t="inlineStr">
        <is>
          <t>NFF-480 – DUEÑO (empleados) - modo claro – Bloque de perfil de usuario (Sidebar): Fondo gris muy suave (#f3f4f6), avatar circular naranja con letra "D" blanca.</t>
        </is>
      </c>
      <c r="D497" s="218" t="n"/>
      <c r="E497" s="153" t="n"/>
      <c r="F497" s="55" t="inlineStr">
        <is>
          <t>x</t>
        </is>
      </c>
      <c r="G497" s="55" t="n"/>
      <c r="H497" s="55" t="n"/>
      <c r="I497" s="56" t="n"/>
      <c r="J497" s="121" t="n"/>
      <c r="K497" s="121" t="n"/>
      <c r="L497" s="121" t="n"/>
      <c r="M497" s="121" t="n"/>
    </row>
    <row r="498" ht="18.75" customHeight="1" s="215">
      <c r="A498" s="152" t="n"/>
      <c r="B498" s="149" t="n">
        <v>481</v>
      </c>
      <c r="C498" s="223" t="inlineStr">
        <is>
          <t>NFF-481 – DUEÑO (empleados) - modo claro – Fondo general de la aplicación: Color crema o beige muy claro (#f5f5f4).</t>
        </is>
      </c>
      <c r="D498" s="218" t="n"/>
      <c r="E498" s="153" t="n"/>
      <c r="F498" s="55" t="inlineStr">
        <is>
          <t>x</t>
        </is>
      </c>
      <c r="G498" s="55" t="n"/>
      <c r="H498" s="55" t="n"/>
      <c r="I498" s="56" t="n"/>
      <c r="J498" s="121" t="n"/>
      <c r="K498" s="121" t="n"/>
      <c r="L498" s="121" t="n"/>
      <c r="M498" s="121" t="n"/>
    </row>
    <row r="499" ht="18.75" customHeight="1" s="215">
      <c r="A499" s="152" t="n"/>
      <c r="B499" s="149" t="n">
        <v>482</v>
      </c>
      <c r="C499" s="223" t="inlineStr">
        <is>
          <t>NFF-482 – DUEÑO (clientes) - modo claro – Indicador de sección (Breadcrumb): Texto "Clientes" en gris oscuro, tamaño pequeño, ubicado sobre el título principal.</t>
        </is>
      </c>
      <c r="D499" s="218" t="n"/>
      <c r="E499" s="153" t="n"/>
      <c r="F499" s="55" t="inlineStr">
        <is>
          <t>x</t>
        </is>
      </c>
      <c r="G499" s="55" t="n"/>
      <c r="H499" s="55" t="n"/>
      <c r="I499" s="56" t="n"/>
      <c r="J499" s="121" t="n"/>
      <c r="K499" s="121" t="n"/>
      <c r="L499" s="121" t="n"/>
      <c r="M499" s="121" t="n"/>
    </row>
    <row r="500" ht="18.75" customHeight="1" s="215">
      <c r="A500" s="152" t="n"/>
      <c r="B500" s="149" t="n">
        <v>483</v>
      </c>
      <c r="C500" s="223" t="inlineStr">
        <is>
          <t>NFF-483 – DUEÑO (clientes) - modo claro – Título principal "Buenas tardes": Texto en azul oscuro profundo, peso bold y fuente sans-serif.</t>
        </is>
      </c>
      <c r="D500" s="218" t="n"/>
      <c r="E500" s="153" t="n"/>
      <c r="F500" s="55" t="inlineStr">
        <is>
          <t>x</t>
        </is>
      </c>
      <c r="G500" s="55" t="n"/>
      <c r="H500" s="55" t="n"/>
      <c r="I500" s="56" t="n"/>
      <c r="J500" s="121" t="n"/>
      <c r="K500" s="121" t="n"/>
      <c r="L500" s="121" t="n"/>
      <c r="M500" s="121" t="n"/>
    </row>
    <row r="501" ht="18.75" customHeight="1" s="215">
      <c r="A501" s="152" t="n"/>
      <c r="B501" s="149" t="n">
        <v>484</v>
      </c>
      <c r="C501" s="223" t="inlineStr">
        <is>
          <t>NFF-484 – DUEÑO (clientes) - modo claro – Subtítulo descriptivo de cabecera: Texto gris medio ("Gestiona tu restaurante, reservas y facturación...") debajo del título principal.</t>
        </is>
      </c>
      <c r="D501" s="218" t="n"/>
      <c r="E501" s="153" t="n"/>
      <c r="F501" s="55" t="inlineStr">
        <is>
          <t>x</t>
        </is>
      </c>
      <c r="G501" s="55" t="n"/>
      <c r="H501" s="55" t="n"/>
      <c r="I501" s="56" t="n"/>
      <c r="J501" s="121" t="n"/>
      <c r="K501" s="121" t="n"/>
      <c r="L501" s="121" t="n"/>
      <c r="M501" s="121" t="n"/>
    </row>
    <row r="502" ht="18.75" customHeight="1" s="215">
      <c r="A502" s="152" t="n"/>
      <c r="B502" s="149" t="n">
        <v>485</v>
      </c>
      <c r="C502" s="223" t="inlineStr">
        <is>
          <t>NFF-485 – DUEÑO (clientes) - modo claro – Contador de registros: Texto "1 cliente" en gris, fuente pequeña, ubicado sobre el margen superior de la tabla.</t>
        </is>
      </c>
      <c r="D502" s="218" t="n"/>
      <c r="E502" s="153" t="n"/>
      <c r="F502" s="55" t="inlineStr">
        <is>
          <t>x</t>
        </is>
      </c>
      <c r="G502" s="55" t="n"/>
      <c r="H502" s="55" t="n"/>
      <c r="I502" s="56" t="n"/>
      <c r="J502" s="121" t="n"/>
      <c r="K502" s="121" t="n"/>
      <c r="L502" s="121" t="n"/>
      <c r="M502" s="121" t="n"/>
    </row>
    <row r="503" ht="18.75" customHeight="1" s="215">
      <c r="A503" s="152" t="n"/>
      <c r="B503" s="149" t="n">
        <v>486</v>
      </c>
      <c r="C503" s="223" t="inlineStr">
        <is>
          <t>NFF-486 – DUEÑO (clientes) - modo claro – Contenedor de tabla de clientes: Fondo blanco puro, border-radius de 12px y sombra suave (box-shadow).</t>
        </is>
      </c>
      <c r="D503" s="218" t="n"/>
      <c r="E503" s="153" t="n"/>
      <c r="F503" s="55" t="inlineStr">
        <is>
          <t>x</t>
        </is>
      </c>
      <c r="G503" s="55" t="n"/>
      <c r="H503" s="55" t="n"/>
      <c r="I503" s="56" t="n"/>
      <c r="J503" s="121" t="n"/>
      <c r="K503" s="121" t="n"/>
      <c r="L503" s="121" t="n"/>
      <c r="M503" s="121" t="n"/>
    </row>
    <row r="504" ht="18.75" customHeight="1" s="215">
      <c r="A504" s="152" t="n"/>
      <c r="B504" s="149" t="n">
        <v>487</v>
      </c>
      <c r="C504" s="223" t="inlineStr">
        <is>
          <t>NFF-487 – DUEÑO (clientes) - modo claro – Encabezado de tabla: Fondo gris muy claro con etiquetas de columna en gris oscuro y peso semi-bold.</t>
        </is>
      </c>
      <c r="D504" s="218" t="n"/>
      <c r="E504" s="153" t="n"/>
      <c r="F504" s="55" t="inlineStr">
        <is>
          <t>x</t>
        </is>
      </c>
      <c r="G504" s="55" t="n"/>
      <c r="H504" s="55" t="n"/>
      <c r="I504" s="56" t="n"/>
      <c r="J504" s="121" t="n"/>
      <c r="K504" s="121" t="n"/>
      <c r="L504" s="121" t="n"/>
      <c r="M504" s="121" t="n"/>
    </row>
    <row r="505" ht="18.75" customHeight="1" s="215">
      <c r="A505" s="152" t="n"/>
      <c r="B505" s="149" t="n">
        <v>488</v>
      </c>
      <c r="C505" s="223" t="inlineStr">
        <is>
          <t>NFF-488 – DUEÑO (clientes) - modo claro – Definición de columnas: "Cliente", "Email", "Reservas" y "Última visita" con alineación a la izquierda.</t>
        </is>
      </c>
      <c r="D505" s="218" t="n"/>
      <c r="E505" s="153" t="n"/>
      <c r="F505" s="55" t="inlineStr">
        <is>
          <t>x</t>
        </is>
      </c>
      <c r="G505" s="55" t="n"/>
      <c r="H505" s="55" t="n"/>
      <c r="I505" s="56" t="n"/>
      <c r="J505" s="121" t="n"/>
      <c r="K505" s="121" t="n"/>
      <c r="L505" s="121" t="n"/>
      <c r="M505" s="121" t="n"/>
    </row>
    <row r="506" ht="18.75" customHeight="1" s="215">
      <c r="A506" s="152" t="n"/>
      <c r="B506" s="149" t="n">
        <v>489</v>
      </c>
      <c r="C506" s="223" t="inlineStr">
        <is>
          <t>NFF-489 – DUEÑO (clientes) - modo claro – Fila de datos: Fondo blanco sólido con texto en negro/gris oscuro para los registros individuales.</t>
        </is>
      </c>
      <c r="D506" s="218" t="n"/>
      <c r="E506" s="153" t="n"/>
      <c r="F506" s="55" t="inlineStr">
        <is>
          <t>x</t>
        </is>
      </c>
      <c r="G506" s="55" t="n"/>
      <c r="H506" s="55" t="n"/>
      <c r="I506" s="56" t="n"/>
      <c r="J506" s="121" t="n"/>
      <c r="K506" s="121" t="n"/>
      <c r="L506" s="121" t="n"/>
      <c r="M506" s="121" t="n"/>
    </row>
    <row r="507" ht="18.75" customHeight="1" s="215">
      <c r="A507" s="152" t="n"/>
      <c r="B507" s="149" t="n">
        <v>490</v>
      </c>
      <c r="C507" s="223" t="inlineStr">
        <is>
          <t>NFF-490 – DUEÑO (clientes) - modo claro – Ítem activo "Clientes" (Sidebar): Fondo naranja sólido, texto blanco puro y border-radius de 8px.</t>
        </is>
      </c>
      <c r="D507" s="218" t="n"/>
      <c r="E507" s="153" t="n"/>
      <c r="F507" s="55" t="inlineStr">
        <is>
          <t>x</t>
        </is>
      </c>
      <c r="G507" s="55" t="n"/>
      <c r="H507" s="55" t="n"/>
      <c r="I507" s="56" t="n"/>
      <c r="J507" s="121" t="n"/>
      <c r="K507" s="121" t="n"/>
      <c r="L507" s="121" t="n"/>
      <c r="M507" s="121" t="n"/>
    </row>
    <row r="508" ht="18.75" customHeight="1" s="215">
      <c r="A508" s="152" t="n"/>
      <c r="B508" s="149" t="n">
        <v>491</v>
      </c>
      <c r="C508" s="223" t="inlineStr">
        <is>
          <t>NFF-491 – DUEÑO (clientes) - modo claro – Bloque de perfil de usuario (Sidebar): Fondo gris muy suave (#f3f4f6), avatar circular naranja con letra "D" blanca.</t>
        </is>
      </c>
      <c r="D508" s="218" t="n"/>
      <c r="E508" s="153" t="n"/>
      <c r="F508" s="55" t="inlineStr">
        <is>
          <t>x</t>
        </is>
      </c>
      <c r="G508" s="55" t="n"/>
      <c r="H508" s="55" t="n"/>
      <c r="I508" s="56" t="n"/>
      <c r="J508" s="121" t="n"/>
      <c r="K508" s="121" t="n"/>
      <c r="L508" s="121" t="n"/>
      <c r="M508" s="121" t="n"/>
    </row>
    <row r="509" ht="18.75" customHeight="1" s="215">
      <c r="A509" s="152" t="n"/>
      <c r="B509" s="149" t="n">
        <v>492</v>
      </c>
      <c r="C509" s="223" t="inlineStr">
        <is>
          <t>NFF-492 – DUEÑO (clientes) - modo claro – Fondo general de la aplicación: Color crema o beige muy claro (#f5f5f4).</t>
        </is>
      </c>
      <c r="D509" s="218" t="n"/>
      <c r="E509" s="153" t="n"/>
      <c r="F509" s="55" t="inlineStr">
        <is>
          <t>x</t>
        </is>
      </c>
      <c r="G509" s="55" t="n"/>
      <c r="H509" s="55" t="n"/>
      <c r="I509" s="56" t="n"/>
      <c r="J509" s="121" t="n"/>
      <c r="K509" s="121" t="n"/>
      <c r="L509" s="121" t="n"/>
      <c r="M509" s="121" t="n"/>
    </row>
    <row r="510" ht="18.75" customHeight="1" s="215">
      <c r="A510" s="152" t="n"/>
      <c r="B510" s="149" t="n">
        <v>493</v>
      </c>
      <c r="C510" s="223" t="inlineStr">
        <is>
          <t>NFF-493 – DUEÑO (correos) - modo claro – Indicador de sección (Breadcrumb): Texto "Correos" en gris oscuro, tamaño pequeño, ubicado sobre el título principal.</t>
        </is>
      </c>
      <c r="D510" s="218" t="n"/>
      <c r="E510" s="153" t="n"/>
      <c r="F510" s="55" t="inlineStr">
        <is>
          <t>x</t>
        </is>
      </c>
      <c r="G510" s="55" t="n"/>
      <c r="H510" s="55" t="n"/>
      <c r="I510" s="56" t="n"/>
      <c r="J510" s="121" t="n"/>
      <c r="K510" s="121" t="n"/>
      <c r="L510" s="121" t="n"/>
      <c r="M510" s="121" t="n"/>
    </row>
    <row r="511" ht="18.75" customHeight="1" s="215">
      <c r="A511" s="152" t="n"/>
      <c r="B511" s="149" t="n">
        <v>494</v>
      </c>
      <c r="C511" s="223" t="inlineStr">
        <is>
          <t>NFF-494 – DUEÑO (correos) - modo claro – Título principal "Buenas tardes": Texto en azul oscuro profundo, peso bold y fuente sans-serif.</t>
        </is>
      </c>
      <c r="D511" s="218" t="n"/>
      <c r="E511" s="153" t="n"/>
      <c r="F511" s="55" t="inlineStr">
        <is>
          <t>x</t>
        </is>
      </c>
      <c r="G511" s="55" t="n"/>
      <c r="H511" s="55" t="n"/>
      <c r="I511" s="56" t="n"/>
      <c r="J511" s="121" t="n"/>
      <c r="K511" s="121" t="n"/>
      <c r="L511" s="121" t="n"/>
      <c r="M511" s="121" t="n"/>
    </row>
    <row r="512" ht="18.75" customHeight="1" s="215">
      <c r="A512" s="152" t="n"/>
      <c r="B512" s="149" t="n">
        <v>495</v>
      </c>
      <c r="C512" s="223" t="inlineStr">
        <is>
          <t>NFF-495 – DUEÑO (correos) - modo claro – Subtítulo descriptivo de cabecera: Texto gris medio ("Gestiona tu restaurante, reservas y facturación...") debajo del título principal.</t>
        </is>
      </c>
      <c r="D512" s="218" t="n"/>
      <c r="E512" s="153" t="n"/>
      <c r="F512" s="55" t="inlineStr">
        <is>
          <t>x</t>
        </is>
      </c>
      <c r="G512" s="55" t="n"/>
      <c r="H512" s="55" t="n"/>
      <c r="I512" s="56" t="n"/>
      <c r="J512" s="121" t="n"/>
      <c r="K512" s="121" t="n"/>
      <c r="L512" s="121" t="n"/>
      <c r="M512" s="121" t="n"/>
    </row>
    <row r="513" ht="18.75" customHeight="1" s="215">
      <c r="A513" s="152" t="n"/>
      <c r="B513" s="149" t="n">
        <v>496</v>
      </c>
      <c r="C513" s="223" t="inlineStr">
        <is>
          <t>NFF-496 – DUEÑO (correos) - modo claro – Contenedor principal de correos (Card): Fondo blanco puro, border-radius de 12px y sombra suave (box-shadow).</t>
        </is>
      </c>
      <c r="D513" s="218" t="n"/>
      <c r="E513" s="153" t="n"/>
      <c r="F513" s="55" t="inlineStr">
        <is>
          <t>x</t>
        </is>
      </c>
      <c r="G513" s="55" t="n"/>
      <c r="H513" s="55" t="n"/>
      <c r="I513" s="56" t="n"/>
      <c r="J513" s="121" t="n"/>
      <c r="K513" s="121" t="n"/>
      <c r="L513" s="121" t="n"/>
      <c r="M513" s="121" t="n"/>
    </row>
    <row r="514" ht="18.75" customHeight="1" s="215">
      <c r="A514" s="152" t="n"/>
      <c r="B514" s="149" t="n">
        <v>497</v>
      </c>
      <c r="C514" s="223" t="inlineStr">
        <is>
          <t>NFF-497 – DUEÑO (correos) - modo claro – Encabezado de la tarjeta: Icono de sobre seguido del título "Correos no leídos" en azul oscuro y descripción en gris.</t>
        </is>
      </c>
      <c r="D514" s="218" t="n"/>
      <c r="E514" s="153" t="n"/>
      <c r="F514" s="55" t="inlineStr">
        <is>
          <t>x</t>
        </is>
      </c>
      <c r="G514" s="55" t="n"/>
      <c r="H514" s="55" t="n"/>
      <c r="I514" s="56" t="n"/>
      <c r="J514" s="121" t="n"/>
      <c r="K514" s="121" t="n"/>
      <c r="L514" s="121" t="n"/>
      <c r="M514" s="121" t="n"/>
    </row>
    <row r="515" ht="18.75" customHeight="1" s="215">
      <c r="A515" s="152" t="n"/>
      <c r="B515" s="149" t="n">
        <v>498</v>
      </c>
      <c r="C515" s="223" t="inlineStr">
        <is>
          <t>NFF-498 – DUEÑO (correos) - modo claro – Botón "Actualizar": Fondo gris muy claro (#f3f4f6), texto gris oscuro, icono de rotación y border-radius de 8px.</t>
        </is>
      </c>
      <c r="D515" s="218" t="n"/>
      <c r="E515" s="153" t="n"/>
      <c r="F515" s="55" t="inlineStr">
        <is>
          <t>x</t>
        </is>
      </c>
      <c r="G515" s="55" t="n"/>
      <c r="H515" s="55" t="n"/>
      <c r="I515" s="56" t="n"/>
      <c r="J515" s="121" t="n"/>
      <c r="K515" s="121" t="n"/>
      <c r="L515" s="121" t="n"/>
      <c r="M515" s="121" t="n"/>
    </row>
    <row r="516" ht="18.75" customHeight="1" s="215">
      <c r="A516" s="152" t="n"/>
      <c r="B516" s="149" t="n">
        <v>499</v>
      </c>
      <c r="C516" s="223" t="inlineStr">
        <is>
          <t>NFF-499 – DUEÑO (correos) - modo claro – Fila de correo individual: Separación mediante borde inferior gris muy tenue.</t>
        </is>
      </c>
      <c r="D516" s="218" t="n"/>
      <c r="E516" s="153" t="n"/>
      <c r="F516" s="55" t="inlineStr">
        <is>
          <t>x</t>
        </is>
      </c>
      <c r="G516" s="55" t="n"/>
      <c r="H516" s="55" t="n"/>
      <c r="I516" s="56" t="n"/>
      <c r="J516" s="121" t="n"/>
      <c r="K516" s="121" t="n"/>
      <c r="L516" s="121" t="n"/>
      <c r="M516" s="121" t="n"/>
    </row>
    <row r="517" ht="18.75" customHeight="1" s="215">
      <c r="A517" s="152" t="n"/>
      <c r="B517" s="149" t="n">
        <v>500</v>
      </c>
      <c r="C517" s="223" t="inlineStr">
        <is>
          <t>NFF-500 – DUEÑO (correos) - modo claro – Título del correo (Asunto): Texto en negro/gris oscuro con peso bold.</t>
        </is>
      </c>
      <c r="D517" s="218" t="n"/>
      <c r="E517" s="153" t="n"/>
      <c r="F517" s="55" t="inlineStr">
        <is>
          <t>x</t>
        </is>
      </c>
      <c r="G517" s="55" t="n"/>
      <c r="H517" s="55" t="n"/>
      <c r="I517" s="56" t="n"/>
      <c r="J517" s="121" t="n"/>
      <c r="K517" s="121" t="n"/>
      <c r="L517" s="121" t="n"/>
      <c r="M517" s="121" t="n"/>
    </row>
    <row r="518" ht="18.75" customHeight="1" s="215">
      <c r="A518" s="152" t="n"/>
      <c r="B518" s="149" t="n">
        <v>501</v>
      </c>
      <c r="C518" s="223" t="inlineStr">
        <is>
          <t>NFF-501 – DUEÑO (correos) - modo claro – Remitente y vista previa: Texto en gris medio ubicado debajo del asunto del correo.</t>
        </is>
      </c>
      <c r="D518" s="218" t="n"/>
      <c r="E518" s="153" t="n"/>
      <c r="F518" s="55" t="inlineStr">
        <is>
          <t>x</t>
        </is>
      </c>
      <c r="G518" s="55" t="n"/>
      <c r="H518" s="55" t="n"/>
      <c r="I518" s="56" t="n"/>
      <c r="J518" s="121" t="n"/>
      <c r="K518" s="121" t="n"/>
      <c r="L518" s="121" t="n"/>
      <c r="M518" s="121" t="n"/>
    </row>
    <row r="519" ht="18.75" customHeight="1" s="215">
      <c r="A519" s="152" t="n"/>
      <c r="B519" s="149" t="n">
        <v>502</v>
      </c>
      <c r="C519" s="223" t="inlineStr">
        <is>
          <t>NFF-502 – DUEÑO (correos) - modo claro – Marca de tiempo: Texto gris oscuro con la fecha y hora, ubicado en el extremo derecho de cada fila de correo.</t>
        </is>
      </c>
      <c r="D519" s="218" t="n"/>
      <c r="E519" s="153" t="n"/>
      <c r="F519" s="55" t="inlineStr">
        <is>
          <t>x</t>
        </is>
      </c>
      <c r="G519" s="55" t="n"/>
      <c r="H519" s="55" t="n"/>
      <c r="I519" s="56" t="n"/>
      <c r="J519" s="121" t="n"/>
      <c r="K519" s="121" t="n"/>
      <c r="L519" s="121" t="n"/>
      <c r="M519" s="121" t="n"/>
    </row>
    <row r="520" ht="18.75" customHeight="1" s="215">
      <c r="A520" s="152" t="n"/>
      <c r="B520" s="149" t="n">
        <v>503</v>
      </c>
      <c r="C520" s="223" t="inlineStr">
        <is>
          <t>NFF-503 – DUEÑO (correos) - modo claro – Ítem activo "Correos" (Sidebar): Fondo naranja sólido (#f97316), texto blanco puro y border-radius de 8px.</t>
        </is>
      </c>
      <c r="D520" s="218" t="n"/>
      <c r="E520" s="153" t="n"/>
      <c r="F520" s="55" t="inlineStr">
        <is>
          <t>x</t>
        </is>
      </c>
      <c r="G520" s="55" t="n"/>
      <c r="H520" s="55" t="n"/>
      <c r="I520" s="56" t="n"/>
      <c r="J520" s="121" t="n"/>
      <c r="K520" s="121" t="n"/>
      <c r="L520" s="121" t="n"/>
      <c r="M520" s="121" t="n"/>
    </row>
    <row r="521" ht="18.75" customHeight="1" s="215">
      <c r="A521" s="152" t="n"/>
      <c r="B521" s="149" t="n">
        <v>504</v>
      </c>
      <c r="C521" s="223" t="inlineStr">
        <is>
          <t>NFF-504 – DUEÑO (correos) - modo claro – Bloque de perfil de usuario (Sidebar): Fondo gris muy suave, avatar circular naranja con letra "D" blanca.</t>
        </is>
      </c>
      <c r="D521" s="218" t="n"/>
      <c r="E521" s="153" t="n"/>
      <c r="F521" s="55" t="inlineStr">
        <is>
          <t>x</t>
        </is>
      </c>
      <c r="G521" s="55" t="n"/>
      <c r="H521" s="55" t="n"/>
      <c r="I521" s="56" t="n"/>
      <c r="J521" s="121" t="n"/>
      <c r="K521" s="121" t="n"/>
      <c r="L521" s="121" t="n"/>
      <c r="M521" s="121" t="n"/>
    </row>
    <row r="522" ht="18.75" customHeight="1" s="215">
      <c r="A522" s="152" t="n"/>
      <c r="B522" s="149" t="n">
        <v>505</v>
      </c>
      <c r="C522" s="223" t="inlineStr">
        <is>
          <t>NFF-505 – DUEÑO (correos) - modo claro – Fondo general de la aplicación: Color crema o beige muy claro (#f5f5f4).</t>
        </is>
      </c>
      <c r="D522" s="218" t="n"/>
      <c r="E522" s="153" t="n"/>
      <c r="F522" s="55" t="inlineStr">
        <is>
          <t>x</t>
        </is>
      </c>
      <c r="G522" s="55" t="n"/>
      <c r="H522" s="55" t="n"/>
      <c r="I522" s="56" t="n"/>
      <c r="J522" s="121" t="n"/>
      <c r="K522" s="121" t="n"/>
      <c r="L522" s="121" t="n"/>
      <c r="M522" s="121" t="n"/>
    </row>
    <row r="523" ht="18.75" customHeight="1" s="215">
      <c r="A523" s="152" t="n"/>
      <c r="B523" s="149" t="n">
        <v>506</v>
      </c>
      <c r="C523" s="223" t="inlineStr">
        <is>
          <t>NFF-506 – DUEÑO (configuracion) - modo claro – Indicador de sección (Breadcrumb): Texto "Configuración" en gris oscuro, tamaño pequeño, posicionado sobre el título principal.</t>
        </is>
      </c>
      <c r="D523" s="218" t="n"/>
      <c r="E523" s="153" t="n"/>
      <c r="F523" s="55" t="inlineStr">
        <is>
          <t>x</t>
        </is>
      </c>
      <c r="G523" s="55" t="n"/>
      <c r="H523" s="55" t="n"/>
      <c r="I523" s="56" t="n"/>
      <c r="J523" s="121" t="n"/>
      <c r="K523" s="121" t="n"/>
      <c r="L523" s="121" t="n"/>
      <c r="M523" s="121" t="n"/>
    </row>
    <row r="524" ht="18.75" customHeight="1" s="215">
      <c r="A524" s="152" t="n"/>
      <c r="B524" s="149" t="n">
        <v>507</v>
      </c>
      <c r="C524" s="223" t="inlineStr">
        <is>
          <t>NFF-507 – DUEÑO (configuracion) - modo claro – Título principal "Buenas tardes": Texto en azul oscuro profundo, peso bold y fuente sans-serif.</t>
        </is>
      </c>
      <c r="D524" s="218" t="n"/>
      <c r="E524" s="153" t="n"/>
      <c r="F524" s="55" t="inlineStr">
        <is>
          <t>x</t>
        </is>
      </c>
      <c r="G524" s="55" t="n"/>
      <c r="H524" s="55" t="n"/>
      <c r="I524" s="56" t="n"/>
      <c r="J524" s="121" t="n"/>
      <c r="K524" s="121" t="n"/>
      <c r="L524" s="121" t="n"/>
      <c r="M524" s="121" t="n"/>
    </row>
    <row r="525" ht="18.75" customHeight="1" s="215">
      <c r="A525" s="152" t="n"/>
      <c r="B525" s="149" t="n">
        <v>508</v>
      </c>
      <c r="C525" s="223" t="inlineStr">
        <is>
          <t>NFF-508 – DUEÑO (configuracion) - modo claro – Subtítulo descriptivo de cabecera: Texto gris medio ("Gestiona tu restaurante, reservas y facturación...") debajo del título principal.</t>
        </is>
      </c>
      <c r="D525" s="218" t="n"/>
      <c r="E525" s="153" t="n"/>
      <c r="F525" s="55" t="inlineStr">
        <is>
          <t>x</t>
        </is>
      </c>
      <c r="G525" s="55" t="n"/>
      <c r="H525" s="55" t="n"/>
      <c r="I525" s="56" t="n"/>
      <c r="J525" s="121" t="n"/>
      <c r="K525" s="121" t="n"/>
      <c r="L525" s="121" t="n"/>
      <c r="M525" s="121" t="n"/>
    </row>
    <row r="526" ht="18.75" customHeight="1" s="215">
      <c r="A526" s="152" t="n"/>
      <c r="B526" s="149" t="n">
        <v>509</v>
      </c>
      <c r="C526" s="223" t="inlineStr">
        <is>
          <t>NFF-509 – DUEÑO (configuracion) - modo claro – Tarjetas de configuración (SMTP e IMAP): Fondo blanco puro, border-radius de 12px y sombra suave (box-shadow).</t>
        </is>
      </c>
      <c r="D526" s="218" t="n"/>
      <c r="E526" s="153" t="n"/>
      <c r="F526" s="55" t="inlineStr">
        <is>
          <t>x</t>
        </is>
      </c>
      <c r="G526" s="55" t="n"/>
      <c r="H526" s="55" t="n"/>
      <c r="I526" s="56" t="n"/>
      <c r="J526" s="121" t="n"/>
      <c r="K526" s="121" t="n"/>
      <c r="L526" s="121" t="n"/>
      <c r="M526" s="121" t="n"/>
    </row>
    <row r="527" ht="18.75" customHeight="1" s="215">
      <c r="A527" s="152" t="n"/>
      <c r="B527" s="149" t="n">
        <v>510</v>
      </c>
      <c r="C527" s="223" t="inlineStr">
        <is>
          <t>NFF-510 – DUEÑO (configuracion) - modo claro – Título de sección SMTP: Texto en azul oscuro con icono lineal de avión de papel y descripción técnica en gris.</t>
        </is>
      </c>
      <c r="D527" s="218" t="n"/>
      <c r="E527" s="153" t="n"/>
      <c r="F527" s="55" t="inlineStr">
        <is>
          <t>x</t>
        </is>
      </c>
      <c r="G527" s="55" t="n"/>
      <c r="H527" s="55" t="n"/>
      <c r="I527" s="56" t="n"/>
      <c r="J527" s="121" t="n"/>
      <c r="K527" s="121" t="n"/>
      <c r="L527" s="121" t="n"/>
      <c r="M527" s="121" t="n"/>
    </row>
    <row r="528" ht="18.75" customHeight="1" s="215">
      <c r="A528" s="152" t="n"/>
      <c r="B528" s="149" t="n">
        <v>511</v>
      </c>
      <c r="C528" s="223" t="inlineStr">
        <is>
          <t>NFF-511 – DUEÑO (configuracion) - modo claro – Título de sección IMAP: Texto en azul oscuro con icono lineal de sobre y descripción técnica en gris.</t>
        </is>
      </c>
      <c r="D528" s="218" t="n"/>
      <c r="E528" s="153" t="n"/>
      <c r="F528" s="55" t="inlineStr">
        <is>
          <t>x</t>
        </is>
      </c>
      <c r="G528" s="55" t="n"/>
      <c r="H528" s="55" t="n"/>
      <c r="I528" s="56" t="n"/>
      <c r="J528" s="121" t="n"/>
      <c r="K528" s="121" t="n"/>
      <c r="L528" s="121" t="n"/>
      <c r="M528" s="121" t="n"/>
    </row>
    <row r="529" ht="18.75" customHeight="1" s="215">
      <c r="A529" s="152" t="n"/>
      <c r="B529" s="149" t="n">
        <v>512</v>
      </c>
      <c r="C529" s="223" t="inlineStr">
        <is>
          <t>NFF-512 – DUEÑO (configuracion) - modo claro – Etiquetas de campos (Labels): Texto gris medio, tamaño de fuente pequeño y peso regular.</t>
        </is>
      </c>
      <c r="D529" s="218" t="n"/>
      <c r="E529" s="153" t="n"/>
      <c r="F529" s="55" t="inlineStr">
        <is>
          <t>x</t>
        </is>
      </c>
      <c r="G529" s="55" t="n"/>
      <c r="H529" s="55" t="n"/>
      <c r="I529" s="56" t="n"/>
      <c r="J529" s="121" t="n"/>
      <c r="K529" s="121" t="n"/>
      <c r="L529" s="121" t="n"/>
      <c r="M529" s="121" t="n"/>
    </row>
    <row r="530" ht="18.75" customHeight="1" s="215">
      <c r="A530" s="152" t="n"/>
      <c r="B530" s="149" t="n">
        <v>513</v>
      </c>
      <c r="C530" s="223" t="inlineStr">
        <is>
          <t>NFF-513 – DUEÑO (configuracion) - modo claro – Cajas de entrada (Inputs): Fondo blanco sólido, borde gris claro y border-radius de 8px; altura aproximada de 40px.</t>
        </is>
      </c>
      <c r="D530" s="218" t="n"/>
      <c r="E530" s="153" t="n"/>
      <c r="F530" s="55" t="inlineStr">
        <is>
          <t>x</t>
        </is>
      </c>
      <c r="G530" s="55" t="n"/>
      <c r="H530" s="55" t="n"/>
      <c r="I530" s="56" t="n"/>
      <c r="J530" s="121" t="n"/>
      <c r="K530" s="121" t="n"/>
      <c r="L530" s="121" t="n"/>
      <c r="M530" s="121" t="n"/>
    </row>
    <row r="531" ht="18.75" customHeight="1" s="215">
      <c r="A531" s="152" t="n"/>
      <c r="B531" s="149" t="n">
        <v>514</v>
      </c>
      <c r="C531" s="223" t="inlineStr">
        <is>
          <t>NFF-514 – DUEÑO (configuracion) - modo claro – Botón "Guardar SMTP": Fondo naranja sólido, texto blanco y peso bold; border-radius de 8px.</t>
        </is>
      </c>
      <c r="D531" s="218" t="n"/>
      <c r="E531" s="153" t="n"/>
      <c r="F531" s="55" t="inlineStr">
        <is>
          <t>x</t>
        </is>
      </c>
      <c r="G531" s="55" t="n"/>
      <c r="H531" s="55" t="n"/>
      <c r="I531" s="56" t="n"/>
      <c r="J531" s="121" t="n"/>
      <c r="K531" s="121" t="n"/>
      <c r="L531" s="121" t="n"/>
      <c r="M531" s="121" t="n"/>
    </row>
    <row r="532" ht="18.75" customHeight="1" s="215">
      <c r="A532" s="152" t="n"/>
      <c r="B532" s="149" t="n">
        <v>515</v>
      </c>
      <c r="C532" s="223" t="inlineStr">
        <is>
          <t>NFF-515 – DUEÑO (configuracion) - modo claro – Botón "Guardar IMAP": Fondo verde grisáceo/tenue, texto blanco y peso bold; border-radius de 8px.</t>
        </is>
      </c>
      <c r="D532" s="218" t="n"/>
      <c r="E532" s="153" t="n"/>
      <c r="F532" s="55" t="inlineStr">
        <is>
          <t>x</t>
        </is>
      </c>
      <c r="G532" s="55" t="n"/>
      <c r="H532" s="55" t="n"/>
      <c r="I532" s="56" t="n"/>
      <c r="J532" s="121" t="n"/>
      <c r="K532" s="121" t="n"/>
      <c r="L532" s="121" t="n"/>
      <c r="M532" s="121" t="n"/>
    </row>
    <row r="533" ht="18.75" customHeight="1" s="215">
      <c r="A533" s="152" t="n"/>
      <c r="B533" s="149" t="n">
        <v>516</v>
      </c>
      <c r="C533" s="223" t="inlineStr">
        <is>
          <t>NFF-516 – DUEÑO (configuracion) - modo claro – Ítem activo "Configuración" (Sidebar): Fondo naranja sólido (#f97316), texto blanco puro y border-radius de 8px.</t>
        </is>
      </c>
      <c r="D533" s="218" t="n"/>
      <c r="E533" s="153" t="n"/>
      <c r="F533" s="55" t="inlineStr">
        <is>
          <t>x</t>
        </is>
      </c>
      <c r="G533" s="55" t="n"/>
      <c r="H533" s="55" t="n"/>
      <c r="I533" s="56" t="n"/>
      <c r="J533" s="121" t="n"/>
      <c r="K533" s="121" t="n"/>
      <c r="L533" s="121" t="n"/>
      <c r="M533" s="121" t="n"/>
    </row>
    <row r="534" ht="18.75" customHeight="1" s="215">
      <c r="A534" s="152" t="n"/>
      <c r="B534" s="149" t="n">
        <v>517</v>
      </c>
      <c r="C534" s="223" t="inlineStr">
        <is>
          <t>NFF-517 – DUEÑO (configuracion) - modo claro – Bloque de perfil de usuario (Sidebar): Fondo gris muy suave (#f3f4f6), avatar circular naranja con letra "D" blanca.</t>
        </is>
      </c>
      <c r="D534" s="218" t="n"/>
      <c r="E534" s="153" t="n"/>
      <c r="F534" s="55" t="inlineStr">
        <is>
          <t>x</t>
        </is>
      </c>
      <c r="G534" s="55" t="n"/>
      <c r="H534" s="55" t="n"/>
      <c r="I534" s="56" t="n"/>
      <c r="J534" s="121" t="n"/>
      <c r="K534" s="121" t="n"/>
      <c r="L534" s="121" t="n"/>
      <c r="M534" s="121" t="n"/>
    </row>
    <row r="535" ht="18.75" customHeight="1" s="215">
      <c r="A535" s="152" t="n"/>
      <c r="B535" s="149" t="n">
        <v>518</v>
      </c>
      <c r="C535" s="223" t="inlineStr">
        <is>
          <t>NFF-518 – DUEÑO (configuracion) - modo claro – Fondo general de la interfaz: Color crema o beige muy claro (#f5f5f4).</t>
        </is>
      </c>
      <c r="D535" s="218" t="n"/>
      <c r="E535" s="153" t="n"/>
      <c r="F535" s="55" t="inlineStr">
        <is>
          <t>x</t>
        </is>
      </c>
      <c r="G535" s="55" t="n"/>
      <c r="H535" s="55" t="n"/>
      <c r="I535" s="56" t="n"/>
      <c r="J535" s="121" t="n"/>
      <c r="K535" s="121" t="n"/>
      <c r="L535" s="121" t="n"/>
      <c r="M535" s="121" t="n"/>
    </row>
    <row r="536" ht="18.75" customHeight="1" s="215">
      <c r="A536" s="152" t="n"/>
      <c r="B536" s="149" t="n">
        <v>519</v>
      </c>
      <c r="C536" s="223" t="inlineStr">
        <is>
          <t>NFF-519 – DUEÑO (resumen) - modo oscuro – Fondo general de la interfaz: Color negro sólido o gris carbón muy oscuro (#0a0a0a).</t>
        </is>
      </c>
      <c r="D536" s="218" t="n"/>
      <c r="E536" s="153" t="n"/>
      <c r="F536" s="55" t="inlineStr">
        <is>
          <t>x</t>
        </is>
      </c>
      <c r="G536" s="55" t="n"/>
      <c r="H536" s="55" t="n"/>
      <c r="I536" s="56" t="n"/>
      <c r="J536" s="121" t="n"/>
      <c r="K536" s="121" t="n"/>
      <c r="L536" s="121" t="n"/>
      <c r="M536" s="121" t="n"/>
    </row>
    <row r="537" ht="18.75" customHeight="1" s="215">
      <c r="A537" s="152" t="n"/>
      <c r="B537" s="149" t="n">
        <v>520</v>
      </c>
      <c r="C537" s="223" t="inlineStr">
        <is>
          <t>NFF-520 – DUEÑO (resumen) - modo oscuro – Barra lateral (Sidebar): Fondo negro con un borde derecho gris oscuro muy sutil para separación.</t>
        </is>
      </c>
      <c r="D537" s="218" t="n"/>
      <c r="E537" s="153" t="n"/>
      <c r="F537" s="55" t="inlineStr">
        <is>
          <t>x</t>
        </is>
      </c>
      <c r="G537" s="55" t="n"/>
      <c r="H537" s="55" t="n"/>
      <c r="I537" s="56" t="n"/>
      <c r="J537" s="121" t="n"/>
      <c r="K537" s="121" t="n"/>
      <c r="L537" s="121" t="n"/>
      <c r="M537" s="121" t="n"/>
    </row>
    <row r="538" ht="18.75" customHeight="1" s="215">
      <c r="A538" s="152" t="n"/>
      <c r="B538" s="149" t="n">
        <v>521</v>
      </c>
      <c r="C538" s="223" t="inlineStr">
        <is>
          <t>NFF-521 – DUEÑO (resumen) - modo oscuro – Ítem activo "Resumen" (Sidebar): Fondo rojo oscuro (#991b1b), texto blanco puro y borde izquierdo rojo brillante.</t>
        </is>
      </c>
      <c r="D538" s="218" t="n"/>
      <c r="E538" s="153" t="n"/>
      <c r="F538" s="55" t="inlineStr">
        <is>
          <t>x</t>
        </is>
      </c>
      <c r="G538" s="55" t="n"/>
      <c r="H538" s="55" t="n"/>
      <c r="I538" s="56" t="n"/>
      <c r="J538" s="121" t="n"/>
      <c r="K538" s="121" t="n"/>
      <c r="L538" s="121" t="n"/>
      <c r="M538" s="121" t="n"/>
    </row>
    <row r="539" ht="18.75" customHeight="1" s="215">
      <c r="A539" s="152" t="n"/>
      <c r="B539" s="149" t="n">
        <v>522</v>
      </c>
      <c r="C539" s="223" t="inlineStr">
        <is>
          <t>NFF-522 – DUEÑO (resumen) - modo oscuro – Ítems inactivos (Sidebar): Texto gris medio con iconos lineales sencillos en gris claro.</t>
        </is>
      </c>
      <c r="D539" s="218" t="n"/>
      <c r="E539" s="153" t="n"/>
      <c r="F539" s="55" t="inlineStr">
        <is>
          <t>x</t>
        </is>
      </c>
      <c r="G539" s="55" t="n"/>
      <c r="H539" s="55" t="n"/>
      <c r="I539" s="56" t="n"/>
      <c r="J539" s="121" t="n"/>
      <c r="K539" s="121" t="n"/>
      <c r="L539" s="121" t="n"/>
      <c r="M539" s="121" t="n"/>
    </row>
    <row r="540" ht="18.75" customHeight="1" s="215">
      <c r="A540" s="152" t="n"/>
      <c r="B540" s="149" t="n">
        <v>523</v>
      </c>
      <c r="C540" s="223" t="inlineStr">
        <is>
          <t>NFF-523 – DUEÑO (resumen) - modo oscuro – Bloque de perfil de usuario (Sidebar): Fondo gris muy oscuro, avatar circular naranja con letra "D" blanca.</t>
        </is>
      </c>
      <c r="D540" s="218" t="n"/>
      <c r="E540" s="153" t="n"/>
      <c r="F540" s="55" t="inlineStr">
        <is>
          <t>x</t>
        </is>
      </c>
      <c r="G540" s="55" t="n"/>
      <c r="H540" s="55" t="n"/>
      <c r="I540" s="56" t="n"/>
      <c r="J540" s="121" t="n"/>
      <c r="K540" s="121" t="n"/>
      <c r="L540" s="121" t="n"/>
      <c r="M540" s="121" t="n"/>
    </row>
    <row r="541" ht="18.75" customHeight="1" s="215">
      <c r="A541" s="152" t="n"/>
      <c r="B541" s="149" t="n">
        <v>524</v>
      </c>
      <c r="C541" s="223" t="inlineStr">
        <is>
          <t>NFF-524 – DUEÑO (resumen) - modo oscuro – Indicador de sección (Breadcrumb): Texto "Resumen" en gris claro, tamaño reducido, ubicado sobre el título principal.</t>
        </is>
      </c>
      <c r="D541" s="218" t="n"/>
      <c r="E541" s="153" t="n"/>
      <c r="F541" s="55" t="inlineStr">
        <is>
          <t>x</t>
        </is>
      </c>
      <c r="G541" s="55" t="n"/>
      <c r="H541" s="55" t="n"/>
      <c r="I541" s="56" t="n"/>
      <c r="J541" s="121" t="n"/>
      <c r="K541" s="121" t="n"/>
      <c r="L541" s="121" t="n"/>
      <c r="M541" s="121" t="n"/>
    </row>
    <row r="542" ht="18.75" customHeight="1" s="215">
      <c r="A542" s="152" t="n"/>
      <c r="B542" s="149" t="n">
        <v>525</v>
      </c>
      <c r="C542" s="223" t="inlineStr">
        <is>
          <t>NFF-525 – DUEÑO (resumen) - modo oscuro – Título principal "Buenas tardes": Texto en blanco puro, peso bold y fuente sans-serif.</t>
        </is>
      </c>
      <c r="D542" s="218" t="n"/>
      <c r="E542" s="153" t="n"/>
      <c r="F542" s="55" t="inlineStr">
        <is>
          <t>x</t>
        </is>
      </c>
      <c r="G542" s="55" t="n"/>
      <c r="H542" s="55" t="n"/>
      <c r="I542" s="56" t="n"/>
      <c r="J542" s="121" t="n"/>
      <c r="K542" s="121" t="n"/>
      <c r="L542" s="121" t="n"/>
      <c r="M542" s="121" t="n"/>
    </row>
    <row r="543" ht="18.75" customHeight="1" s="215">
      <c r="A543" s="152" t="n"/>
      <c r="B543" s="149" t="n">
        <v>526</v>
      </c>
      <c r="C543" s="223" t="inlineStr">
        <is>
          <t>NFF-526 – DUEÑO (resumen) - modo oscuro – Subtítulo descriptivo de cabecera: Texto gris medio ("Gestiona tu restaurante, reservas y facturación...") debajo del título principal.</t>
        </is>
      </c>
      <c r="D543" s="218" t="n"/>
      <c r="E543" s="153" t="n"/>
      <c r="F543" s="55" t="inlineStr">
        <is>
          <t>x</t>
        </is>
      </c>
      <c r="G543" s="55" t="n"/>
      <c r="H543" s="55" t="n"/>
      <c r="I543" s="56" t="n"/>
      <c r="J543" s="121" t="n"/>
      <c r="K543" s="121" t="n"/>
      <c r="L543" s="121" t="n"/>
      <c r="M543" s="121" t="n"/>
    </row>
    <row r="544" ht="18.75" customHeight="1" s="215">
      <c r="A544" s="152" t="n"/>
      <c r="B544" s="149" t="n">
        <v>527</v>
      </c>
      <c r="C544" s="223" t="inlineStr">
        <is>
          <t>NFF-527 – DUEÑO (resumen) - modo oscuro – Tarjetas de métricas superiores (Restaurantes, Reservas, Ingresos): Fondo gris oscuro translúcido, border-radius de 12px y borde gris tenue.</t>
        </is>
      </c>
      <c r="D544" s="218" t="n"/>
      <c r="E544" s="153" t="n"/>
      <c r="F544" s="55" t="inlineStr">
        <is>
          <t>x</t>
        </is>
      </c>
      <c r="G544" s="55" t="n"/>
      <c r="H544" s="55" t="n"/>
      <c r="I544" s="56" t="n"/>
      <c r="J544" s="121" t="n"/>
      <c r="K544" s="121" t="n"/>
      <c r="L544" s="121" t="n"/>
      <c r="M544" s="121" t="n"/>
    </row>
    <row r="545" ht="18.75" customHeight="1" s="215">
      <c r="A545" s="152" t="n"/>
      <c r="B545" s="149" t="n">
        <v>528</v>
      </c>
      <c r="C545" s="223" t="inlineStr">
        <is>
          <t>NFF-528 – DUEÑO (resumen) - modo oscuro – Valores numéricos de métricas: Texto en blanco puro, tamaño de fuente grande y peso semi-bold.</t>
        </is>
      </c>
      <c r="D545" s="218" t="n"/>
      <c r="E545" s="153" t="n"/>
      <c r="F545" s="55" t="inlineStr">
        <is>
          <t>x</t>
        </is>
      </c>
      <c r="G545" s="55" t="n"/>
      <c r="H545" s="55" t="n"/>
      <c r="I545" s="56" t="n"/>
      <c r="J545" s="121" t="n"/>
      <c r="K545" s="121" t="n"/>
      <c r="L545" s="121" t="n"/>
      <c r="M545" s="121" t="n"/>
    </row>
    <row r="546" ht="18.75" customHeight="1" s="215">
      <c r="A546" s="152" t="n"/>
      <c r="B546" s="149" t="n">
        <v>529</v>
      </c>
      <c r="C546" s="223" t="inlineStr">
        <is>
          <t>NFF-529 – DUEÑO (resumen) - modo oscuro – Iconos decorativos en métricas: Ubicados en la esquina superior derecha en contenedores cuadrados de baja opacidad (azul, verde, morado).</t>
        </is>
      </c>
      <c r="D546" s="218" t="n"/>
      <c r="E546" s="153" t="n"/>
      <c r="F546" s="55" t="inlineStr">
        <is>
          <t>x</t>
        </is>
      </c>
      <c r="G546" s="55" t="n"/>
      <c r="H546" s="55" t="n"/>
      <c r="I546" s="56" t="n"/>
      <c r="J546" s="121" t="n"/>
      <c r="K546" s="121" t="n"/>
      <c r="L546" s="121" t="n"/>
      <c r="M546" s="121" t="n"/>
    </row>
    <row r="547" ht="18.75" customHeight="1" s="215">
      <c r="A547" s="152" t="n"/>
      <c r="B547" s="149" t="n">
        <v>530</v>
      </c>
      <c r="C547" s="223" t="inlineStr">
        <is>
          <t>NFF-530 – DUEÑO (resumen) - modo oscuro – Tarjeta "Flujo de visitantes": Fondo gris oscuro con borde sutil y border-radius de 12px.</t>
        </is>
      </c>
      <c r="D547" s="218" t="n"/>
      <c r="E547" s="153" t="n"/>
      <c r="F547" s="55" t="inlineStr">
        <is>
          <t>x</t>
        </is>
      </c>
      <c r="G547" s="55" t="n"/>
      <c r="H547" s="55" t="n"/>
      <c r="I547" s="56" t="n"/>
      <c r="J547" s="121" t="n"/>
      <c r="K547" s="121" t="n"/>
      <c r="L547" s="121" t="n"/>
      <c r="M547" s="121" t="n"/>
    </row>
    <row r="548" ht="18.75" customHeight="1" s="215">
      <c r="A548" s="152" t="n"/>
      <c r="B548" s="149" t="n">
        <v>531</v>
      </c>
      <c r="C548" s="223" t="inlineStr">
        <is>
          <t>NFF-531 – DUEÑO (resumen) - modo oscuro – Barras de datos en gráfico de flujo: Color rojo sólido intenso con texto de datos en gris claro a la derecha.</t>
        </is>
      </c>
      <c r="D548" s="218" t="n"/>
      <c r="E548" s="153" t="n"/>
      <c r="F548" s="55" t="inlineStr">
        <is>
          <t>x</t>
        </is>
      </c>
      <c r="G548" s="55" t="n"/>
      <c r="H548" s="55" t="n"/>
      <c r="I548" s="56" t="n"/>
      <c r="J548" s="121" t="n"/>
      <c r="K548" s="121" t="n"/>
      <c r="L548" s="121" t="n"/>
      <c r="M548" s="121" t="n"/>
    </row>
    <row r="549" ht="18.75" customHeight="1" s="215">
      <c r="A549" s="152" t="n"/>
      <c r="B549" s="149" t="n">
        <v>532</v>
      </c>
      <c r="C549" s="223" t="inlineStr">
        <is>
          <t>NFF-532 – DUEÑO (resumen) - modo oscuro – Tarjeta "Acciones rápidas": Fondo gris oscuro con border-radius de 12px.</t>
        </is>
      </c>
      <c r="D549" s="218" t="n"/>
      <c r="E549" s="153" t="n"/>
      <c r="F549" s="55" t="inlineStr">
        <is>
          <t>x</t>
        </is>
      </c>
      <c r="G549" s="55" t="n"/>
      <c r="H549" s="55" t="n"/>
      <c r="I549" s="56" t="n"/>
      <c r="J549" s="121" t="n"/>
      <c r="K549" s="121" t="n"/>
      <c r="L549" s="121" t="n"/>
      <c r="M549" s="121" t="n"/>
    </row>
    <row r="550" ht="18.75" customHeight="1" s="215">
      <c r="A550" s="152" t="n"/>
      <c r="B550" s="149" t="n">
        <v>533</v>
      </c>
      <c r="C550" s="223" t="inlineStr">
        <is>
          <t>NFF-533 – DUEÑO (resumen) - modo oscuro – Botón principal "Ver reservas de hoy": Fondo rojo intenso (#991b1b), texto blanco y border-radius de 8px.</t>
        </is>
      </c>
      <c r="D550" s="218" t="n"/>
      <c r="E550" s="153" t="n"/>
      <c r="F550" s="55" t="inlineStr">
        <is>
          <t>x</t>
        </is>
      </c>
      <c r="G550" s="55" t="n"/>
      <c r="H550" s="55" t="n"/>
      <c r="I550" s="56" t="n"/>
      <c r="J550" s="121" t="n"/>
      <c r="K550" s="121" t="n"/>
      <c r="L550" s="121" t="n"/>
      <c r="M550" s="121" t="n"/>
    </row>
    <row r="551" ht="18.75" customHeight="1" s="215">
      <c r="A551" s="152" t="n"/>
      <c r="B551" s="149" t="n">
        <v>534</v>
      </c>
      <c r="C551" s="223" t="inlineStr">
        <is>
          <t>NFF-534 – DUEÑO (resumen) - modo oscuro – Botones secundarios ("Exportar informe", "Añadir restaurante"): Fondo gris muy oscuro (casi negro), texto blanco y border-radius de 8px.</t>
        </is>
      </c>
      <c r="D551" s="218" t="n"/>
      <c r="E551" s="153" t="n"/>
      <c r="F551" s="55" t="inlineStr">
        <is>
          <t>x</t>
        </is>
      </c>
      <c r="G551" s="55" t="n"/>
      <c r="H551" s="55" t="n"/>
      <c r="I551" s="56" t="n"/>
      <c r="J551" s="121" t="n"/>
      <c r="K551" s="121" t="n"/>
      <c r="L551" s="121" t="n"/>
      <c r="M551" s="121" t="n"/>
    </row>
    <row r="552" ht="18.75" customHeight="1" s="215">
      <c r="A552" s="152" t="n"/>
      <c r="B552" s="149" t="n">
        <v>535</v>
      </c>
      <c r="C552" s="223" t="inlineStr">
        <is>
          <t>NFF-535 – DUEÑO (restaurantes) - modo oscuro – Fondo general de la interfaz: Color negro sólido o gris carbón muy oscuro (#0a0a0a).</t>
        </is>
      </c>
      <c r="D552" s="218" t="n"/>
      <c r="E552" s="153" t="n"/>
      <c r="F552" s="55" t="inlineStr">
        <is>
          <t>x</t>
        </is>
      </c>
      <c r="G552" s="55" t="n"/>
      <c r="H552" s="55" t="n"/>
      <c r="I552" s="56" t="n"/>
      <c r="J552" s="121" t="n"/>
      <c r="K552" s="121" t="n"/>
      <c r="L552" s="121" t="n"/>
      <c r="M552" s="121" t="n"/>
    </row>
    <row r="553" ht="18.75" customHeight="1" s="215">
      <c r="A553" s="152" t="n"/>
      <c r="B553" s="149" t="n">
        <v>536</v>
      </c>
      <c r="C553" s="223" t="inlineStr">
        <is>
          <t>NFF-536 – DUEÑO (restaurantes) - modo oscuro – Barra lateral (Sidebar): Fondo negro con un borde derecho gris oscuro muy sutil para separación.</t>
        </is>
      </c>
      <c r="D553" s="218" t="n"/>
      <c r="E553" s="153" t="n"/>
      <c r="F553" s="55" t="inlineStr">
        <is>
          <t>x</t>
        </is>
      </c>
      <c r="G553" s="55" t="n"/>
      <c r="H553" s="55" t="n"/>
      <c r="I553" s="56" t="n"/>
      <c r="J553" s="121" t="n"/>
      <c r="K553" s="121" t="n"/>
      <c r="L553" s="121" t="n"/>
      <c r="M553" s="121" t="n"/>
    </row>
    <row r="554" ht="18.75" customHeight="1" s="215">
      <c r="A554" s="152" t="n"/>
      <c r="B554" s="149" t="n">
        <v>537</v>
      </c>
      <c r="C554" s="223" t="inlineStr">
        <is>
          <t>NFF-537 – DUEÑO (restaurantes) - modo oscuro – Ítem activo "Restaurantes" (Sidebar): Fondo rojo oscuro (#991b1b), texto blanco puro y borde izquierdo rojo brillante; border-radius de 8px.</t>
        </is>
      </c>
      <c r="D554" s="218" t="n"/>
      <c r="E554" s="153" t="n"/>
      <c r="F554" s="55" t="inlineStr">
        <is>
          <t>x</t>
        </is>
      </c>
      <c r="G554" s="55" t="n"/>
      <c r="H554" s="55" t="n"/>
      <c r="I554" s="56" t="n"/>
      <c r="J554" s="121" t="n"/>
      <c r="K554" s="121" t="n"/>
      <c r="L554" s="121" t="n"/>
      <c r="M554" s="121" t="n"/>
    </row>
    <row r="555" ht="18.75" customHeight="1" s="215">
      <c r="A555" s="152" t="n"/>
      <c r="B555" s="149" t="n">
        <v>538</v>
      </c>
      <c r="C555" s="223" t="inlineStr">
        <is>
          <t>NFF-538 – DUEÑO (restaurantes) - modo oscuro – Bloque de perfil de usuario (Sidebar): Fondo gris muy oscuro, avatar circular naranja con letra "D" blanca.</t>
        </is>
      </c>
      <c r="D555" s="218" t="n"/>
      <c r="E555" s="153" t="n"/>
      <c r="F555" s="55" t="inlineStr">
        <is>
          <t>x</t>
        </is>
      </c>
      <c r="G555" s="55" t="n"/>
      <c r="H555" s="55" t="n"/>
      <c r="I555" s="56" t="n"/>
      <c r="J555" s="121" t="n"/>
      <c r="K555" s="121" t="n"/>
      <c r="L555" s="121" t="n"/>
      <c r="M555" s="121" t="n"/>
    </row>
    <row r="556" ht="18.75" customHeight="1" s="215">
      <c r="A556" s="152" t="n"/>
      <c r="B556" s="149" t="n">
        <v>539</v>
      </c>
      <c r="C556" s="223" t="inlineStr">
        <is>
          <t>NFF-539 – DUEÑO (restaurantes) - modo oscuro – Indicador de sección (Breadcrumb): Texto "Mis Restaurantes" en gris claro, tamaño reducido, ubicado sobre el título principal.</t>
        </is>
      </c>
      <c r="D556" s="218" t="n"/>
      <c r="E556" s="153" t="n"/>
      <c r="F556" s="55" t="inlineStr">
        <is>
          <t>x</t>
        </is>
      </c>
      <c r="G556" s="55" t="n"/>
      <c r="H556" s="55" t="n"/>
      <c r="I556" s="56" t="n"/>
      <c r="J556" s="121" t="n"/>
      <c r="K556" s="121" t="n"/>
      <c r="L556" s="121" t="n"/>
      <c r="M556" s="121" t="n"/>
    </row>
    <row r="557" ht="18.75" customHeight="1" s="215">
      <c r="A557" s="152" t="n"/>
      <c r="B557" s="149" t="n">
        <v>540</v>
      </c>
      <c r="C557" s="223" t="inlineStr">
        <is>
          <t>NFF-540 – DUEÑO (restaurantes) - modo oscuro – Título principal "Buenas tardes": Texto en blanco puro, peso bold y fuente sans-serif.</t>
        </is>
      </c>
      <c r="D557" s="218" t="n"/>
      <c r="E557" s="153" t="n"/>
      <c r="F557" s="55" t="inlineStr">
        <is>
          <t>x</t>
        </is>
      </c>
      <c r="G557" s="55" t="n"/>
      <c r="H557" s="55" t="n"/>
      <c r="I557" s="56" t="n"/>
      <c r="J557" s="121" t="n"/>
      <c r="K557" s="121" t="n"/>
      <c r="L557" s="121" t="n"/>
      <c r="M557" s="121" t="n"/>
    </row>
    <row r="558" ht="18.75" customHeight="1" s="215">
      <c r="A558" s="152" t="n"/>
      <c r="B558" s="149" t="n">
        <v>541</v>
      </c>
      <c r="C558" s="223" t="inlineStr">
        <is>
          <t>NFF-541 – DUEÑO (restaurantes) - modo oscuro – Subtítulo descriptivo de cabecera: Texto gris medio debajo del título principal.</t>
        </is>
      </c>
      <c r="D558" s="218" t="n"/>
      <c r="E558" s="153" t="n"/>
      <c r="F558" s="55" t="inlineStr">
        <is>
          <t>x</t>
        </is>
      </c>
      <c r="G558" s="55" t="n"/>
      <c r="H558" s="55" t="n"/>
      <c r="I558" s="56" t="n"/>
      <c r="J558" s="121" t="n"/>
      <c r="K558" s="121" t="n"/>
      <c r="L558" s="121" t="n"/>
      <c r="M558" s="121" t="n"/>
    </row>
    <row r="559" ht="18.75" customHeight="1" s="215">
      <c r="A559" s="152" t="n"/>
      <c r="B559" s="149" t="n">
        <v>542</v>
      </c>
      <c r="C559" s="223" t="inlineStr">
        <is>
          <t>NFF-542 – DUEÑO (restaurantes) - modo oscuro – Contador de elementos: Texto "X restaurantes administrados" en gris claro, fuente pequeña, alineado a la izquierda.</t>
        </is>
      </c>
      <c r="D559" s="218" t="n"/>
      <c r="E559" s="153" t="n"/>
      <c r="F559" s="55" t="inlineStr">
        <is>
          <t>x</t>
        </is>
      </c>
      <c r="G559" s="55" t="n"/>
      <c r="H559" s="55" t="n"/>
      <c r="I559" s="56" t="n"/>
      <c r="J559" s="121" t="n"/>
      <c r="K559" s="121" t="n"/>
      <c r="L559" s="121" t="n"/>
      <c r="M559" s="121" t="n"/>
    </row>
    <row r="560" ht="18.75" customHeight="1" s="215">
      <c r="A560" s="152" t="n"/>
      <c r="B560" s="149" t="n">
        <v>543</v>
      </c>
      <c r="C560" s="223" t="inlineStr">
        <is>
          <t>NFF-543 – DUEÑO (restaurantes) - modo oscuro – Botón "Agregar restaurante": Fondo rojo intenso, texto blanco, border-radius de 8px, ubicado en la parte superior derecha.</t>
        </is>
      </c>
      <c r="D560" s="218" t="n"/>
      <c r="E560" s="153" t="n"/>
      <c r="F560" s="55" t="inlineStr">
        <is>
          <t>x</t>
        </is>
      </c>
      <c r="G560" s="55" t="n"/>
      <c r="H560" s="55" t="n"/>
      <c r="I560" s="56" t="n"/>
      <c r="J560" s="121" t="n"/>
      <c r="K560" s="121" t="n"/>
      <c r="L560" s="121" t="n"/>
      <c r="M560" s="121" t="n"/>
    </row>
    <row r="561" ht="18.75" customHeight="1" s="215">
      <c r="A561" s="152" t="n"/>
      <c r="B561" s="149" t="n">
        <v>544</v>
      </c>
      <c r="C561" s="223" t="inlineStr">
        <is>
          <t>NFF-544 – DUEÑO (restaurantes) - modo oscuro – Contenedor de tarjeta de restaurante: Fondo negro/gris carbón, border-radius de 12px y borde gris oscuro sutil.</t>
        </is>
      </c>
      <c r="D561" s="218" t="n"/>
      <c r="E561" s="153" t="n"/>
      <c r="F561" s="55" t="inlineStr">
        <is>
          <t>x</t>
        </is>
      </c>
      <c r="G561" s="55" t="n"/>
      <c r="H561" s="55" t="n"/>
      <c r="I561" s="56" t="n"/>
      <c r="J561" s="121" t="n"/>
      <c r="K561" s="121" t="n"/>
      <c r="L561" s="121" t="n"/>
      <c r="M561" s="121" t="n"/>
    </row>
    <row r="562" ht="18.75" customHeight="1" s="215">
      <c r="A562" s="152" t="n"/>
      <c r="B562" s="149" t="n">
        <v>545</v>
      </c>
      <c r="C562" s="223" t="inlineStr">
        <is>
          <t>NFF-545 – DUEÑO (restaurantes) - modo oscuro – Imagen de cabecera de tarjeta: Imagen rectangular con bordes superiores redondeados que siguen la forma del contenedor.</t>
        </is>
      </c>
      <c r="D562" s="218" t="n"/>
      <c r="E562" s="153" t="n"/>
      <c r="F562" s="55" t="inlineStr">
        <is>
          <t>x</t>
        </is>
      </c>
      <c r="G562" s="55" t="n"/>
      <c r="H562" s="55" t="n"/>
      <c r="I562" s="56" t="n"/>
      <c r="J562" s="121" t="n"/>
      <c r="K562" s="121" t="n"/>
      <c r="L562" s="121" t="n"/>
      <c r="M562" s="121" t="n"/>
    </row>
    <row r="563" ht="18.75" customHeight="1" s="215">
      <c r="A563" s="152" t="n"/>
      <c r="B563" s="149" t="n">
        <v>546</v>
      </c>
      <c r="C563" s="223" t="inlineStr">
        <is>
          <t>NFF-546 – DUEÑO (restaurantes) - modo oscuro – Etiqueta de estado (Activo): Fondo rojo sólido, texto blanco, estilo píldora, superpuesta en la esquina superior derecha de la imagen.</t>
        </is>
      </c>
      <c r="D563" s="218" t="n"/>
      <c r="E563" s="153" t="n"/>
      <c r="F563" s="55" t="inlineStr">
        <is>
          <t>x</t>
        </is>
      </c>
      <c r="G563" s="55" t="n"/>
      <c r="H563" s="55" t="n"/>
      <c r="I563" s="56" t="n"/>
      <c r="J563" s="121" t="n"/>
      <c r="K563" s="121" t="n"/>
      <c r="L563" s="121" t="n"/>
      <c r="M563" s="121" t="n"/>
    </row>
    <row r="564" ht="18.75" customHeight="1" s="215">
      <c r="A564" s="152" t="n"/>
      <c r="B564" s="149" t="n">
        <v>547</v>
      </c>
      <c r="C564" s="223" t="inlineStr">
        <is>
          <t>NFF-547 – DUEÑO (restaurantes) - modo oscuro – Título de restaurante: Texto en blanco puro con peso semi-bold, ubicado debajo de la imagen.</t>
        </is>
      </c>
      <c r="D564" s="218" t="n"/>
      <c r="E564" s="153" t="n"/>
      <c r="F564" s="55" t="inlineStr">
        <is>
          <t>x</t>
        </is>
      </c>
      <c r="G564" s="55" t="n"/>
      <c r="H564" s="55" t="n"/>
      <c r="I564" s="56" t="n"/>
      <c r="J564" s="121" t="n"/>
      <c r="K564" s="121" t="n"/>
      <c r="L564" s="121" t="n"/>
      <c r="M564" s="121" t="n"/>
    </row>
    <row r="565" ht="18.75" customHeight="1" s="215">
      <c r="A565" s="152" t="n"/>
      <c r="B565" s="149" t="n">
        <v>548</v>
      </c>
      <c r="C565" s="223" t="inlineStr">
        <is>
          <t>NFF-548 – DUEÑO (restaurantes) - modo oscuro – Indicador de calificación: Icono de estrella y número "0" en color naranja/dorado.</t>
        </is>
      </c>
      <c r="D565" s="218" t="n"/>
      <c r="E565" s="153" t="n"/>
      <c r="F565" s="55" t="inlineStr">
        <is>
          <t>x</t>
        </is>
      </c>
      <c r="G565" s="55" t="n"/>
      <c r="H565" s="55" t="n"/>
      <c r="I565" s="56" t="n"/>
      <c r="J565" s="121" t="n"/>
      <c r="K565" s="121" t="n"/>
      <c r="L565" s="121" t="n"/>
      <c r="M565" s="121" t="n"/>
    </row>
    <row r="566" ht="18.75" customHeight="1" s="215">
      <c r="A566" s="152" t="n"/>
      <c r="B566" s="149" t="n">
        <v>549</v>
      </c>
      <c r="C566" s="223" t="inlineStr">
        <is>
          <t>NFF-549 – DUEÑO (restaurantes) - modo oscuro – Iconos de detalle (Ubicación y Mesas): Iconos lineales en gris claro con texto descriptivo en gris medio al lado.</t>
        </is>
      </c>
      <c r="D566" s="218" t="n"/>
      <c r="E566" s="153" t="n"/>
      <c r="F566" s="55" t="inlineStr">
        <is>
          <t>x</t>
        </is>
      </c>
      <c r="G566" s="55" t="n"/>
      <c r="H566" s="55" t="n"/>
      <c r="I566" s="56" t="n"/>
      <c r="J566" s="121" t="n"/>
      <c r="K566" s="121" t="n"/>
      <c r="L566" s="121" t="n"/>
      <c r="M566" s="121" t="n"/>
    </row>
    <row r="567" ht="18.75" customHeight="1" s="215">
      <c r="A567" s="152" t="n"/>
      <c r="B567" s="149" t="n">
        <v>550</v>
      </c>
      <c r="C567" s="223" t="inlineStr">
        <is>
          <t>NFF-550 – DUEÑO (restaurantes) - modo oscuro – Barra de progreso/estado: Línea horizontal pequeña en color verde ubicada sobre los botones de acción de la tarjeta.</t>
        </is>
      </c>
      <c r="D567" s="218" t="n"/>
      <c r="E567" s="153" t="n"/>
      <c r="F567" s="55" t="inlineStr">
        <is>
          <t>x</t>
        </is>
      </c>
      <c r="G567" s="55" t="n"/>
      <c r="H567" s="55" t="n"/>
      <c r="I567" s="56" t="n"/>
      <c r="J567" s="121" t="n"/>
      <c r="K567" s="121" t="n"/>
      <c r="L567" s="121" t="n"/>
      <c r="M567" s="121" t="n"/>
    </row>
    <row r="568" ht="18.75" customHeight="1" s="215">
      <c r="A568" s="152" t="n"/>
      <c r="B568" s="149" t="n">
        <v>551</v>
      </c>
      <c r="C568" s="223" t="inlineStr">
        <is>
          <t>NFF-551 – DUEÑO (restaurantes) - modo oscuro – Botón "Ver reservas": Fondo rojo intenso (#991b1b), texto blanco y border-radius de 8px.</t>
        </is>
      </c>
      <c r="D568" s="218" t="n"/>
      <c r="E568" s="153" t="n"/>
      <c r="F568" s="55" t="inlineStr">
        <is>
          <t>x</t>
        </is>
      </c>
      <c r="G568" s="55" t="n"/>
      <c r="H568" s="55" t="n"/>
      <c r="I568" s="56" t="n"/>
      <c r="J568" s="121" t="n"/>
      <c r="K568" s="121" t="n"/>
      <c r="L568" s="121" t="n"/>
      <c r="M568" s="121" t="n"/>
    </row>
    <row r="569" ht="18.75" customHeight="1" s="215">
      <c r="A569" s="152" t="n"/>
      <c r="B569" s="149" t="n">
        <v>552</v>
      </c>
      <c r="C569" s="223" t="inlineStr">
        <is>
          <t>NFF-552 – DUEÑO (restaurantes) - modo oscuro – Botón de configuración (Icono): Fondo gris muy oscuro (casi negro), icono de engranaje blanco, border-radius de 8px.</t>
        </is>
      </c>
      <c r="D569" s="218" t="n"/>
      <c r="E569" s="153" t="n"/>
      <c r="F569" s="55" t="inlineStr">
        <is>
          <t>x</t>
        </is>
      </c>
      <c r="G569" s="55" t="n"/>
      <c r="H569" s="55" t="n"/>
      <c r="I569" s="56" t="n"/>
      <c r="J569" s="121" t="n"/>
      <c r="K569" s="121" t="n"/>
      <c r="L569" s="121" t="n"/>
      <c r="M569" s="121" t="n"/>
    </row>
    <row r="570" ht="18.75" customHeight="1" s="215">
      <c r="A570" s="152" t="n"/>
      <c r="B570" s="149" t="n">
        <v>553</v>
      </c>
      <c r="C570" s="223" t="inlineStr">
        <is>
          <t>NFF-553 – DUEÑO (restaurantes) - modo oscuro – Fondo general de la interfaz: Color negro sólido o gris carbón muy oscuro (#0a0a0a).</t>
        </is>
      </c>
      <c r="D570" s="218" t="n"/>
      <c r="E570" s="153" t="n"/>
      <c r="F570" s="55" t="inlineStr">
        <is>
          <t>x</t>
        </is>
      </c>
      <c r="G570" s="55" t="n"/>
      <c r="H570" s="55" t="n"/>
      <c r="I570" s="56" t="n"/>
      <c r="J570" s="121" t="n"/>
      <c r="K570" s="121" t="n"/>
      <c r="L570" s="121" t="n"/>
      <c r="M570" s="121" t="n"/>
    </row>
    <row r="571" ht="18.75" customHeight="1" s="215">
      <c r="A571" s="152" t="n"/>
      <c r="B571" s="149" t="n">
        <v>554</v>
      </c>
      <c r="C571" s="223" t="inlineStr">
        <is>
          <t>NFF-554 – DUEÑO (restaurantes) - modo oscuro – Ítem activo "Facturas" (Sidebar): Fondo rojo oscuro (#991b1b), texto blanco puro y borde izquierdo rojo brillante; border-radius de 8px.</t>
        </is>
      </c>
      <c r="D571" s="218" t="n"/>
      <c r="E571" s="153" t="n"/>
      <c r="F571" s="55" t="inlineStr">
        <is>
          <t>x</t>
        </is>
      </c>
      <c r="G571" s="55" t="n"/>
      <c r="H571" s="55" t="n"/>
      <c r="I571" s="56" t="n"/>
      <c r="J571" s="121" t="n"/>
      <c r="K571" s="121" t="n"/>
      <c r="L571" s="121" t="n"/>
      <c r="M571" s="121" t="n"/>
    </row>
    <row r="572" ht="18.75" customHeight="1" s="215">
      <c r="A572" s="152" t="n"/>
      <c r="B572" s="149" t="n">
        <v>555</v>
      </c>
      <c r="C572" s="223" t="inlineStr">
        <is>
          <t>NFF-555 – DUEÑO (restaurantes) - modo oscuro – Indicador de sección (Breadcrumb): Texto "Facturación" en gris claro, tamaño pequeño, ubicado sobre el título principal.</t>
        </is>
      </c>
      <c r="D572" s="218" t="n"/>
      <c r="E572" s="153" t="n"/>
      <c r="F572" s="55" t="inlineStr">
        <is>
          <t>x</t>
        </is>
      </c>
      <c r="G572" s="55" t="n"/>
      <c r="H572" s="55" t="n"/>
      <c r="I572" s="56" t="n"/>
      <c r="J572" s="121" t="n"/>
      <c r="K572" s="121" t="n"/>
      <c r="L572" s="121" t="n"/>
      <c r="M572" s="121" t="n"/>
    </row>
    <row r="573" ht="18.75" customHeight="1" s="215">
      <c r="A573" s="152" t="n"/>
      <c r="B573" s="149" t="n">
        <v>556</v>
      </c>
      <c r="C573" s="223" t="inlineStr">
        <is>
          <t>NFF-556 – DUEÑO (restaurantes) - modo oscuro – Título principal "Buenas tardes": Texto en blanco puro, peso bold y fuente sans-serif.</t>
        </is>
      </c>
      <c r="D573" s="218" t="n"/>
      <c r="E573" s="153" t="n"/>
      <c r="F573" s="55" t="inlineStr">
        <is>
          <t>x</t>
        </is>
      </c>
      <c r="G573" s="55" t="n"/>
      <c r="H573" s="55" t="n"/>
      <c r="I573" s="56" t="n"/>
      <c r="J573" s="121" t="n"/>
      <c r="K573" s="121" t="n"/>
      <c r="L573" s="121" t="n"/>
      <c r="M573" s="121" t="n"/>
    </row>
    <row r="574" ht="18.75" customHeight="1" s="215">
      <c r="A574" s="152" t="n"/>
      <c r="B574" s="149" t="n">
        <v>557</v>
      </c>
      <c r="C574" s="223" t="inlineStr">
        <is>
          <t>NFF-557 – DUEÑO (restaurantes) - modo oscuro – Subtítulo descriptivo de cabecera: Texto gris medio ("Gestiona tu restaurante, reservas y facturación...") debajo del título principal.</t>
        </is>
      </c>
      <c r="D574" s="218" t="n"/>
      <c r="E574" s="153" t="n"/>
      <c r="F574" s="55" t="inlineStr">
        <is>
          <t>x</t>
        </is>
      </c>
      <c r="G574" s="55" t="n"/>
      <c r="H574" s="55" t="n"/>
      <c r="I574" s="56" t="n"/>
      <c r="J574" s="121" t="n"/>
      <c r="K574" s="121" t="n"/>
      <c r="L574" s="121" t="n"/>
      <c r="M574" s="121" t="n"/>
    </row>
    <row r="575" ht="18.75" customHeight="1" s="215">
      <c r="A575" s="152" t="n"/>
      <c r="B575" s="149" t="n">
        <v>558</v>
      </c>
      <c r="C575" s="223" t="inlineStr">
        <is>
          <t>NFF-558 – DUEÑO (restaurantes) - modo oscuro – Contador de elementos: Texto "0 facturas" en gris claro, fuente pequeña, ubicado sobre el margen superior de la tarjeta principal.</t>
        </is>
      </c>
      <c r="D575" s="218" t="n"/>
      <c r="E575" s="153" t="n"/>
      <c r="F575" s="55" t="inlineStr">
        <is>
          <t>x</t>
        </is>
      </c>
      <c r="G575" s="55" t="n"/>
      <c r="H575" s="55" t="n"/>
      <c r="I575" s="56" t="n"/>
      <c r="J575" s="121" t="n"/>
      <c r="K575" s="121" t="n"/>
      <c r="L575" s="121" t="n"/>
      <c r="M575" s="121" t="n"/>
    </row>
    <row r="576" ht="18.75" customHeight="1" s="215">
      <c r="A576" s="152" t="n"/>
      <c r="B576" s="149" t="n">
        <v>559</v>
      </c>
      <c r="C576" s="223" t="inlineStr">
        <is>
          <t>NFF-559 – DUEÑO (restaurantes) - modo oscuro – Contenedor de tarjeta principal (Facturas): Fondo negro/gris carbón, border-radius de 12px y borde gris oscuro sutil.</t>
        </is>
      </c>
      <c r="D576" s="218" t="n"/>
      <c r="E576" s="153" t="n"/>
      <c r="F576" s="55" t="inlineStr">
        <is>
          <t>x</t>
        </is>
      </c>
      <c r="G576" s="55" t="n"/>
      <c r="H576" s="55" t="n"/>
      <c r="I576" s="56" t="n"/>
      <c r="J576" s="121" t="n"/>
      <c r="K576" s="121" t="n"/>
      <c r="L576" s="121" t="n"/>
      <c r="M576" s="121" t="n"/>
    </row>
    <row r="577" ht="18.75" customHeight="1" s="215">
      <c r="A577" s="152" t="n"/>
      <c r="B577" s="149" t="n">
        <v>560</v>
      </c>
      <c r="C577" s="223" t="inlineStr">
        <is>
          <t>NFF-560 – DUEÑO (restaurantes) - modo oscuro – Encabezado de la tarjeta: Título "Facturas recientes" en blanco con peso semi-bold y subtítulo descriptivo en gris medio.</t>
        </is>
      </c>
      <c r="D577" s="218" t="n"/>
      <c r="E577" s="153" t="n"/>
      <c r="F577" s="55" t="inlineStr">
        <is>
          <t>x</t>
        </is>
      </c>
      <c r="G577" s="55" t="n"/>
      <c r="H577" s="55" t="n"/>
      <c r="I577" s="56" t="n"/>
      <c r="J577" s="121" t="n"/>
      <c r="K577" s="121" t="n"/>
      <c r="L577" s="121" t="n"/>
      <c r="M577" s="121" t="n"/>
    </row>
    <row r="578" ht="18.75" customHeight="1" s="215">
      <c r="A578" s="152" t="n"/>
      <c r="B578" s="149" t="n">
        <v>561</v>
      </c>
      <c r="C578" s="223" t="inlineStr">
        <is>
          <t>NFF-561 – DUEÑO (restaurantes) - modo oscuro – Fila de encabezado de tabla: Texto en gris claro/medio con peso semi-bold.</t>
        </is>
      </c>
      <c r="D578" s="218" t="n"/>
      <c r="E578" s="153" t="n"/>
      <c r="F578" s="55" t="inlineStr">
        <is>
          <t>x</t>
        </is>
      </c>
      <c r="G578" s="55" t="n"/>
      <c r="H578" s="55" t="n"/>
      <c r="I578" s="56" t="n"/>
      <c r="J578" s="121" t="n"/>
      <c r="K578" s="121" t="n"/>
      <c r="L578" s="121" t="n"/>
      <c r="M578" s="121" t="n"/>
    </row>
    <row r="579" ht="18.75" customHeight="1" s="215">
      <c r="A579" s="152" t="n"/>
      <c r="B579" s="149" t="n">
        <v>562</v>
      </c>
      <c r="C579" s="223" t="inlineStr">
        <is>
          <t>NFF-562 – DUEÑO (restaurantes) - modo oscuro – Columnas de la tabla: "Número", "Restaurante", "Monto", "Fecha", "Vencimiento", "Estado" y "Acciones".</t>
        </is>
      </c>
      <c r="D579" s="218" t="n"/>
      <c r="E579" s="153" t="n"/>
      <c r="F579" s="55" t="inlineStr">
        <is>
          <t>x</t>
        </is>
      </c>
      <c r="G579" s="55" t="n"/>
      <c r="H579" s="55" t="n"/>
      <c r="I579" s="56" t="n"/>
      <c r="J579" s="121" t="n"/>
      <c r="K579" s="121" t="n"/>
      <c r="L579" s="121" t="n"/>
      <c r="M579" s="121" t="n"/>
    </row>
    <row r="580" ht="18.75" customHeight="1" s="215">
      <c r="A580" s="152" t="n"/>
      <c r="B580" s="149" t="n">
        <v>563</v>
      </c>
      <c r="C580" s="223" t="inlineStr">
        <is>
          <t>NFF-563 – DUEÑO (restaurantes) - modo oscuro – Cuerpo de la tabla: Área de contenido vacía con fondo negro uniforme debajo del encabezado.</t>
        </is>
      </c>
      <c r="D580" s="218" t="n"/>
      <c r="E580" s="153" t="n"/>
      <c r="F580" s="55" t="inlineStr">
        <is>
          <t>x</t>
        </is>
      </c>
      <c r="G580" s="55" t="n"/>
      <c r="H580" s="55" t="n"/>
      <c r="I580" s="56" t="n"/>
      <c r="J580" s="121" t="n"/>
      <c r="K580" s="121" t="n"/>
      <c r="L580" s="121" t="n"/>
      <c r="M580" s="121" t="n"/>
    </row>
    <row r="581" ht="18.75" customHeight="1" s="215">
      <c r="A581" s="152" t="n"/>
      <c r="B581" s="149" t="n">
        <v>564</v>
      </c>
      <c r="C581" s="223" t="inlineStr">
        <is>
          <t>NFF-564 – DUEÑO (restaurantes) - modo oscuro – Bloque de perfil de usuario (Sidebar): Fondo gris muy oscuro, avatar circular naranja con letra "D" blanca.</t>
        </is>
      </c>
      <c r="D581" s="218" t="n"/>
      <c r="E581" s="153" t="n"/>
      <c r="F581" s="55" t="inlineStr">
        <is>
          <t>x</t>
        </is>
      </c>
      <c r="G581" s="55" t="n"/>
      <c r="H581" s="55" t="n"/>
      <c r="I581" s="56" t="n"/>
      <c r="J581" s="121" t="n"/>
      <c r="K581" s="121" t="n"/>
      <c r="L581" s="121" t="n"/>
      <c r="M581" s="121" t="n"/>
    </row>
    <row r="582" ht="18.75" customHeight="1" s="215">
      <c r="A582" s="152" t="n"/>
      <c r="B582" s="149" t="n">
        <v>565</v>
      </c>
      <c r="C582" s="223" t="inlineStr">
        <is>
          <t>NFF-565 – DUEÑO (flujo diario) - modo oscuro – Fondo general de la interfaz: Color negro sólido o gris carbón muy oscuro (#0a0a0a).</t>
        </is>
      </c>
      <c r="D582" s="218" t="n"/>
      <c r="E582" s="153" t="n"/>
      <c r="F582" s="55" t="inlineStr">
        <is>
          <t>x</t>
        </is>
      </c>
      <c r="G582" s="55" t="n"/>
      <c r="H582" s="55" t="n"/>
      <c r="I582" s="56" t="n"/>
      <c r="J582" s="121" t="n"/>
      <c r="K582" s="121" t="n"/>
      <c r="L582" s="121" t="n"/>
      <c r="M582" s="121" t="n"/>
    </row>
    <row r="583" ht="18.75" customHeight="1" s="215">
      <c r="A583" s="152" t="n"/>
      <c r="B583" s="149" t="n">
        <v>566</v>
      </c>
      <c r="C583" s="223" t="inlineStr">
        <is>
          <t>NFF-566 – DUEÑO (flujo diario) - modo oscuro – Ítem activo "Flujo diario" (Sidebar): Fondo rojo oscuro (#991b1b), texto blanco puro y borde izquierdo rojo brillante; border-radius de 8px.</t>
        </is>
      </c>
      <c r="D583" s="218" t="n"/>
      <c r="E583" s="153" t="n"/>
      <c r="F583" s="55" t="inlineStr">
        <is>
          <t>x</t>
        </is>
      </c>
      <c r="G583" s="55" t="n"/>
      <c r="H583" s="55" t="n"/>
      <c r="I583" s="56" t="n"/>
      <c r="J583" s="121" t="n"/>
      <c r="K583" s="121" t="n"/>
      <c r="L583" s="121" t="n"/>
      <c r="M583" s="121" t="n"/>
    </row>
    <row r="584" ht="18.75" customHeight="1" s="215">
      <c r="A584" s="152" t="n"/>
      <c r="B584" s="149" t="n">
        <v>567</v>
      </c>
      <c r="C584" s="223" t="inlineStr">
        <is>
          <t>NFF-567 – DUEÑO (flujo diario) - modo oscuro – Bloque de perfil de usuario (Sidebar): Fondo gris muy oscuro con avatar circular naranja e inicial "D" en blanco.</t>
        </is>
      </c>
      <c r="D584" s="218" t="n"/>
      <c r="E584" s="153" t="n"/>
      <c r="F584" s="55" t="inlineStr">
        <is>
          <t>x</t>
        </is>
      </c>
      <c r="G584" s="55" t="n"/>
      <c r="H584" s="55" t="n"/>
      <c r="I584" s="56" t="n"/>
      <c r="J584" s="121" t="n"/>
      <c r="K584" s="121" t="n"/>
      <c r="L584" s="121" t="n"/>
      <c r="M584" s="121" t="n"/>
    </row>
    <row r="585" ht="18.75" customHeight="1" s="215">
      <c r="A585" s="152" t="n"/>
      <c r="B585" s="149" t="n">
        <v>568</v>
      </c>
      <c r="C585" s="223" t="inlineStr">
        <is>
          <t>NFF-568 – DUEÑO (flujo diario) - modo oscuro – Indicador de sección (Breadcrumb): Texto "Flujo diario" en gris claro, tamaño pequeño, ubicado sobre el título principal.</t>
        </is>
      </c>
      <c r="D585" s="218" t="n"/>
      <c r="E585" s="153" t="n"/>
      <c r="F585" s="55" t="inlineStr">
        <is>
          <t>x</t>
        </is>
      </c>
      <c r="G585" s="55" t="n"/>
      <c r="H585" s="55" t="n"/>
      <c r="I585" s="56" t="n"/>
      <c r="J585" s="121" t="n"/>
      <c r="K585" s="121" t="n"/>
      <c r="L585" s="121" t="n"/>
      <c r="M585" s="121" t="n"/>
    </row>
    <row r="586" ht="18.75" customHeight="1" s="215">
      <c r="A586" s="152" t="n"/>
      <c r="B586" s="149" t="n">
        <v>569</v>
      </c>
      <c r="C586" s="223" t="inlineStr">
        <is>
          <t>NFF-569 – DUEÑO (flujo diario) - modo oscuro – Título principal "Buenas tardes": Texto en blanco puro, peso bold y fuente sans-serif.</t>
        </is>
      </c>
      <c r="D586" s="218" t="n"/>
      <c r="E586" s="153" t="n"/>
      <c r="F586" s="55" t="inlineStr">
        <is>
          <t>x</t>
        </is>
      </c>
      <c r="G586" s="55" t="n"/>
      <c r="H586" s="55" t="n"/>
      <c r="I586" s="56" t="n"/>
      <c r="J586" s="121" t="n"/>
      <c r="K586" s="121" t="n"/>
      <c r="L586" s="121" t="n"/>
      <c r="M586" s="121" t="n"/>
    </row>
    <row r="587" ht="18.75" customHeight="1" s="215">
      <c r="A587" s="152" t="n"/>
      <c r="B587" s="149" t="n">
        <v>570</v>
      </c>
      <c r="C587" s="223" t="inlineStr">
        <is>
          <t>NFF-570 – DUEÑO (flujo diario) - modo oscuro – Subtítulo de vista: "Flujo diario / Análisis de clientes por hora" en gris medio, alineado a la izquierda.</t>
        </is>
      </c>
      <c r="D587" s="218" t="n"/>
      <c r="E587" s="153" t="n"/>
      <c r="F587" s="55" t="inlineStr">
        <is>
          <t>x</t>
        </is>
      </c>
      <c r="G587" s="55" t="n"/>
      <c r="H587" s="55" t="n"/>
      <c r="I587" s="56" t="n"/>
      <c r="J587" s="121" t="n"/>
      <c r="K587" s="121" t="n"/>
      <c r="L587" s="121" t="n"/>
      <c r="M587" s="121" t="n"/>
    </row>
    <row r="588" ht="18.75" customHeight="1" s="215">
      <c r="A588" s="152" t="n"/>
      <c r="B588" s="149" t="n">
        <v>571</v>
      </c>
      <c r="C588" s="223" t="inlineStr">
        <is>
          <t>NFF-571 – DUEÑO (flujo diario) - modo oscuro – Tarjetas de métricas (Total clientes, Con reserva, Sin reserva): Fondo gris carbón muy oscuro, border-radius de 12px y borde delgado gris.</t>
        </is>
      </c>
      <c r="D588" s="218" t="n"/>
      <c r="E588" s="153" t="n"/>
      <c r="F588" s="55" t="inlineStr">
        <is>
          <t>x</t>
        </is>
      </c>
      <c r="G588" s="55" t="n"/>
      <c r="H588" s="55" t="n"/>
      <c r="I588" s="56" t="n"/>
      <c r="J588" s="121" t="n"/>
      <c r="K588" s="121" t="n"/>
      <c r="L588" s="121" t="n"/>
      <c r="M588" s="121" t="n"/>
    </row>
    <row r="589" ht="18.75" customHeight="1" s="215">
      <c r="A589" s="152" t="n"/>
      <c r="B589" s="149" t="n">
        <v>572</v>
      </c>
      <c r="C589" s="223" t="inlineStr">
        <is>
          <t>NFF-572 – DUEÑO (flujo diario) - modo oscuro – Títulos de métricas en tarjetas: Texto en gris claro, peso regular y tamaño de fuente reducido.</t>
        </is>
      </c>
      <c r="D589" s="218" t="n"/>
      <c r="E589" s="153" t="n"/>
      <c r="F589" s="55" t="inlineStr">
        <is>
          <t>x</t>
        </is>
      </c>
      <c r="G589" s="55" t="n"/>
      <c r="H589" s="55" t="n"/>
      <c r="I589" s="56" t="n"/>
      <c r="J589" s="121" t="n"/>
      <c r="K589" s="121" t="n"/>
      <c r="L589" s="121" t="n"/>
      <c r="M589" s="121" t="n"/>
    </row>
    <row r="590" ht="18.75" customHeight="1" s="215">
      <c r="A590" s="152" t="n"/>
      <c r="B590" s="149" t="n">
        <v>573</v>
      </c>
      <c r="C590" s="223" t="inlineStr">
        <is>
          <t>NFF-573 – DUEÑO (flujo diario) - modo oscuro – Valores numéricos de métricas: Número "0" en blanco, tamaño de fuente grande y peso bold.</t>
        </is>
      </c>
      <c r="D590" s="218" t="n"/>
      <c r="E590" s="153" t="n"/>
      <c r="F590" s="55" t="inlineStr">
        <is>
          <t>x</t>
        </is>
      </c>
      <c r="G590" s="55" t="n"/>
      <c r="H590" s="55" t="n"/>
      <c r="I590" s="56" t="n"/>
      <c r="J590" s="121" t="n"/>
      <c r="K590" s="121" t="n"/>
      <c r="L590" s="121" t="n"/>
      <c r="M590" s="121" t="n"/>
    </row>
    <row r="591" ht="18.75" customHeight="1" s="215">
      <c r="A591" s="152" t="n"/>
      <c r="B591" s="149" t="n">
        <v>574</v>
      </c>
      <c r="C591" s="223" t="inlineStr">
        <is>
          <t>NFF-574 – DUEÑO (flujo diario) - modo oscuro – Etiquetas de subtexto en métricas: Texto gris medio ("Hasta ahora", "0% del total") debajo de los valores numéricos.</t>
        </is>
      </c>
      <c r="D591" s="218" t="n"/>
      <c r="E591" s="153" t="n"/>
      <c r="F591" s="55" t="inlineStr">
        <is>
          <t>x</t>
        </is>
      </c>
      <c r="G591" s="55" t="n"/>
      <c r="H591" s="55" t="n"/>
      <c r="I591" s="56" t="n"/>
      <c r="J591" s="121" t="n"/>
      <c r="K591" s="121" t="n"/>
      <c r="L591" s="121" t="n"/>
      <c r="M591" s="121" t="n"/>
    </row>
    <row r="592" ht="18.75" customHeight="1" s="215">
      <c r="A592" s="152" t="n"/>
      <c r="B592" s="149" t="n">
        <v>575</v>
      </c>
      <c r="C592" s="223" t="inlineStr">
        <is>
          <t>NFF-575 – DUEÑO (flujo diario) - modo oscuro – Tarjeta de detalle "Flujo por horas": Contenedor con fondo gris muy oscuro, border-radius de 12px y borde sutil.</t>
        </is>
      </c>
      <c r="D592" s="218" t="n"/>
      <c r="E592" s="153" t="n"/>
      <c r="F592" s="55" t="inlineStr">
        <is>
          <t>x</t>
        </is>
      </c>
      <c r="G592" s="55" t="n"/>
      <c r="H592" s="55" t="n"/>
      <c r="I592" s="56" t="n"/>
      <c r="J592" s="121" t="n"/>
      <c r="K592" s="121" t="n"/>
      <c r="L592" s="121" t="n"/>
      <c r="M592" s="121" t="n"/>
    </row>
    <row r="593" ht="18.75" customHeight="1" s="215">
      <c r="A593" s="152" t="n"/>
      <c r="B593" s="149" t="n">
        <v>576</v>
      </c>
      <c r="C593" s="223" t="inlineStr">
        <is>
          <t>NFF-576 – DUEÑO (flujo diario) - modo oscuro – Encabezado de tarjeta de detalle: Título "Flujo por horas" en blanco y subtítulo descriptivo en gris medio.</t>
        </is>
      </c>
      <c r="D593" s="218" t="n"/>
      <c r="E593" s="153" t="n"/>
      <c r="F593" s="55" t="inlineStr">
        <is>
          <t>x</t>
        </is>
      </c>
      <c r="G593" s="55" t="n"/>
      <c r="H593" s="55" t="n"/>
      <c r="I593" s="56" t="n"/>
      <c r="J593" s="121" t="n"/>
      <c r="K593" s="121" t="n"/>
      <c r="L593" s="121" t="n"/>
      <c r="M593" s="121" t="n"/>
    </row>
    <row r="594" ht="18.75" customHeight="1" s="215">
      <c r="A594" s="152" t="n"/>
      <c r="B594" s="149" t="n">
        <v>577</v>
      </c>
      <c r="C594" s="223" t="inlineStr">
        <is>
          <t>NFF-577 – DUEÑO (flujo diario) - modo oscuro – Aviso de datos vacíos en gráfico: Texto "No hay datos de flujo diario." en gris medio, centrado horizontal y verticalmente.</t>
        </is>
      </c>
      <c r="D594" s="218" t="n"/>
      <c r="E594" s="153" t="n"/>
      <c r="F594" s="55" t="inlineStr">
        <is>
          <t>x</t>
        </is>
      </c>
      <c r="G594" s="55" t="n"/>
      <c r="H594" s="55" t="n"/>
      <c r="I594" s="56" t="n"/>
      <c r="J594" s="121" t="n"/>
      <c r="K594" s="121" t="n"/>
      <c r="L594" s="121" t="n"/>
      <c r="M594" s="121" t="n"/>
    </row>
    <row r="595" ht="18.75" customHeight="1" s="215">
      <c r="A595" s="152" t="n"/>
      <c r="B595" s="149" t="n">
        <v>578</v>
      </c>
      <c r="C595" s="223" t="inlineStr">
        <is>
          <t>NFF-578 – DUEÑO (empleados) - modo oscuro – Indicador de sección (Breadcrumb): Texto "Empleados" en gris claro, tamaño pequeño, ubicado sobre el título principal.</t>
        </is>
      </c>
      <c r="D595" s="218" t="n"/>
      <c r="E595" s="153" t="n"/>
      <c r="F595" s="55" t="inlineStr">
        <is>
          <t>x</t>
        </is>
      </c>
      <c r="G595" s="55" t="n"/>
      <c r="H595" s="55" t="n"/>
      <c r="I595" s="56" t="n"/>
      <c r="J595" s="121" t="n"/>
      <c r="K595" s="121" t="n"/>
      <c r="L595" s="121" t="n"/>
      <c r="M595" s="121" t="n"/>
    </row>
    <row r="596" ht="18.75" customHeight="1" s="215">
      <c r="A596" s="152" t="n"/>
      <c r="B596" s="149" t="n">
        <v>579</v>
      </c>
      <c r="C596" s="223" t="inlineStr">
        <is>
          <t>NFF-579 – DUEÑO (empleados) - modo oscuro – Título principal "Buenas tardes": Texto en blanco puro, peso bold y fuente sans-serif.</t>
        </is>
      </c>
      <c r="D596" s="218" t="n"/>
      <c r="E596" s="153" t="n"/>
      <c r="F596" s="55" t="inlineStr">
        <is>
          <t>x</t>
        </is>
      </c>
      <c r="G596" s="55" t="n"/>
      <c r="H596" s="55" t="n"/>
      <c r="I596" s="56" t="n"/>
      <c r="J596" s="121" t="n"/>
      <c r="K596" s="121" t="n"/>
      <c r="L596" s="121" t="n"/>
      <c r="M596" s="121" t="n"/>
    </row>
    <row r="597" ht="18.75" customHeight="1" s="215">
      <c r="A597" s="152" t="n"/>
      <c r="B597" s="149" t="n">
        <v>580</v>
      </c>
      <c r="C597" s="223" t="inlineStr">
        <is>
          <t>NFF-580 – DUEÑO (empleados) - modo oscuro – Subtítulo descriptivo de cabecera: Texto gris medio ("Gestiona tus restaurantes, reservas y facturación...") debajo del título principal.</t>
        </is>
      </c>
      <c r="D597" s="218" t="n"/>
      <c r="E597" s="153" t="n"/>
      <c r="F597" s="55" t="inlineStr">
        <is>
          <t>x</t>
        </is>
      </c>
      <c r="G597" s="55" t="n"/>
      <c r="H597" s="55" t="n"/>
      <c r="I597" s="56" t="n"/>
      <c r="J597" s="121" t="n"/>
      <c r="K597" s="121" t="n"/>
      <c r="L597" s="121" t="n"/>
      <c r="M597" s="121" t="n"/>
    </row>
    <row r="598" ht="18.75" customHeight="1" s="215">
      <c r="A598" s="152" t="n"/>
      <c r="B598" s="149" t="n">
        <v>581</v>
      </c>
      <c r="C598" s="223" t="inlineStr">
        <is>
          <t>NFF-581 – DUEÑO (empleados) - modo oscuro – Título de sección "Empleados": Texto en blanco con subtexto "Personas asignadas a tus restaurantes..." en gris medio.</t>
        </is>
      </c>
      <c r="D598" s="218" t="n"/>
      <c r="E598" s="153" t="n"/>
      <c r="F598" s="55" t="inlineStr">
        <is>
          <t>x</t>
        </is>
      </c>
      <c r="G598" s="55" t="n"/>
      <c r="H598" s="55" t="n"/>
      <c r="I598" s="56" t="n"/>
      <c r="J598" s="121" t="n"/>
      <c r="K598" s="121" t="n"/>
      <c r="L598" s="121" t="n"/>
      <c r="M598" s="121" t="n"/>
    </row>
    <row r="599" ht="18.75" customHeight="1" s="215">
      <c r="A599" s="152" t="n"/>
      <c r="B599" s="149" t="n">
        <v>582</v>
      </c>
      <c r="C599" s="223" t="inlineStr">
        <is>
          <t>NFF-582 – DUEÑO (empleados) - modo oscuro – Tarjetas de perfil de empleado: Fondo gris carbón muy oscuro, border-radius de 12px y borde delgado gris.</t>
        </is>
      </c>
      <c r="D599" s="218" t="n"/>
      <c r="E599" s="153" t="n"/>
      <c r="F599" s="55" t="inlineStr">
        <is>
          <t>x</t>
        </is>
      </c>
      <c r="G599" s="55" t="n"/>
      <c r="H599" s="55" t="n"/>
      <c r="I599" s="56" t="n"/>
      <c r="J599" s="121" t="n"/>
      <c r="K599" s="121" t="n"/>
      <c r="L599" s="121" t="n"/>
      <c r="M599" s="121" t="n"/>
    </row>
    <row r="600" ht="18.75" customHeight="1" s="215">
      <c r="A600" s="152" t="n"/>
      <c r="B600" s="149" t="n">
        <v>583</v>
      </c>
      <c r="C600" s="223" t="inlineStr">
        <is>
          <t>NFF-583 – DUEÑO (empleados) - modo oscuro – Información en tarjeta de empleado: Nombre en blanco (bold), correo electrónico y restaurante asignado en gris claro/medio.</t>
        </is>
      </c>
      <c r="D600" s="218" t="n"/>
      <c r="E600" s="153" t="n"/>
      <c r="F600" s="55" t="inlineStr">
        <is>
          <t>x</t>
        </is>
      </c>
      <c r="G600" s="55" t="n"/>
      <c r="H600" s="55" t="n"/>
      <c r="I600" s="56" t="n"/>
      <c r="J600" s="121" t="n"/>
      <c r="K600" s="121" t="n"/>
      <c r="L600" s="121" t="n"/>
      <c r="M600" s="121" t="n"/>
    </row>
    <row r="601" ht="18.75" customHeight="1" s="215">
      <c r="A601" s="152" t="n"/>
      <c r="B601" s="149" t="n">
        <v>584</v>
      </c>
      <c r="C601" s="223" t="inlineStr">
        <is>
          <t>NFF-584 – DUEÑO (empleados) - modo oscuro – Etiquetas de rol (Badges): Fondo de color rojo oscuro apagado con texto descriptivo ("administrador" o "empleado") en rojo más claro, estilo píldora.</t>
        </is>
      </c>
      <c r="D601" s="218" t="n"/>
      <c r="E601" s="153" t="n"/>
      <c r="F601" s="55" t="inlineStr">
        <is>
          <t>x</t>
        </is>
      </c>
      <c r="G601" s="55" t="n"/>
      <c r="H601" s="55" t="n"/>
      <c r="I601" s="56" t="n"/>
      <c r="J601" s="121" t="n"/>
      <c r="K601" s="121" t="n"/>
      <c r="L601" s="121" t="n"/>
      <c r="M601" s="121" t="n"/>
    </row>
    <row r="602" ht="18.75" customHeight="1" s="215">
      <c r="A602" s="152" t="n"/>
      <c r="B602" s="149" t="n">
        <v>585</v>
      </c>
      <c r="C602" s="223" t="inlineStr">
        <is>
          <t>NFF-585 – DUEÑO (empleados) - modo oscuro – Título de sección "Reservas aceptadas": Texto en blanco con subtexto "Todas las reservas confirmadas..." en gris medio.</t>
        </is>
      </c>
      <c r="D602" s="218" t="n"/>
      <c r="E602" s="153" t="n"/>
      <c r="F602" s="55" t="inlineStr">
        <is>
          <t>x</t>
        </is>
      </c>
      <c r="G602" s="55" t="n"/>
      <c r="H602" s="55" t="n"/>
      <c r="I602" s="56" t="n"/>
      <c r="J602" s="121" t="n"/>
      <c r="K602" s="121" t="n"/>
      <c r="L602" s="121" t="n"/>
      <c r="M602" s="121" t="n"/>
    </row>
    <row r="603" ht="18.75" customHeight="1" s="215">
      <c r="A603" s="152" t="n"/>
      <c r="B603" s="149" t="n">
        <v>586</v>
      </c>
      <c r="C603" s="223" t="inlineStr">
        <is>
          <t>NFF-586 – DUEÑO (empleados) - modo oscuro – Contenedor de tabla de reservas: Fondo negro/gris carbón, border-radius de 12px y borde gris oscuro sutil.</t>
        </is>
      </c>
      <c r="D603" s="218" t="n"/>
      <c r="E603" s="153" t="n"/>
      <c r="F603" s="55" t="inlineStr">
        <is>
          <t>x</t>
        </is>
      </c>
      <c r="G603" s="55" t="n"/>
      <c r="H603" s="55" t="n"/>
      <c r="I603" s="56" t="n"/>
      <c r="J603" s="121" t="n"/>
      <c r="K603" s="121" t="n"/>
      <c r="L603" s="121" t="n"/>
      <c r="M603" s="121" t="n"/>
    </row>
    <row r="604" ht="18.75" customHeight="1" s="215">
      <c r="A604" s="152" t="n"/>
      <c r="B604" s="149" t="n">
        <v>587</v>
      </c>
      <c r="C604" s="223" t="inlineStr">
        <is>
          <t>NFF-587 – DUEÑO (empleados) - modo oscuro – Encabezado de tabla de reservas: Texto en gris claro con etiquetas de columna en peso semi-bold.</t>
        </is>
      </c>
      <c r="D604" s="218" t="n"/>
      <c r="E604" s="153" t="n"/>
      <c r="F604" s="55" t="inlineStr">
        <is>
          <t>x</t>
        </is>
      </c>
      <c r="G604" s="55" t="n"/>
      <c r="H604" s="55" t="n"/>
      <c r="I604" s="56" t="n"/>
      <c r="J604" s="121" t="n"/>
      <c r="K604" s="121" t="n"/>
      <c r="L604" s="121" t="n"/>
      <c r="M604" s="121" t="n"/>
    </row>
    <row r="605" ht="18.75" customHeight="1" s="215">
      <c r="A605" s="152" t="n"/>
      <c r="B605" s="149" t="n">
        <v>588</v>
      </c>
      <c r="C605" s="223" t="inlineStr">
        <is>
          <t>NFF-588 – DUEÑO (empleados) - modo oscuro – Columnas de la tabla: "Fecha", "Hora", "Restaurante", "Cliente", "Comensales" y "Teléfono".</t>
        </is>
      </c>
      <c r="D605" s="218" t="n"/>
      <c r="E605" s="153" t="n"/>
      <c r="F605" s="55" t="inlineStr">
        <is>
          <t>x</t>
        </is>
      </c>
      <c r="G605" s="55" t="n"/>
      <c r="H605" s="55" t="n"/>
      <c r="I605" s="56" t="n"/>
      <c r="J605" s="121" t="n"/>
      <c r="K605" s="121" t="n"/>
      <c r="L605" s="121" t="n"/>
      <c r="M605" s="121" t="n"/>
    </row>
    <row r="606" ht="18.75" customHeight="1" s="215">
      <c r="A606" s="152" t="n"/>
      <c r="B606" s="149" t="n">
        <v>589</v>
      </c>
      <c r="C606" s="223" t="inlineStr">
        <is>
          <t>NFF-589 – DUEÑO (empleados) - modo oscuro – Ítem activo "Empleados" (Sidebar): Fondo rojo oscuro (#991b1b), texto blanco puro y borde izquierdo rojo brillante.</t>
        </is>
      </c>
      <c r="D606" s="218" t="n"/>
      <c r="E606" s="153" t="n"/>
      <c r="F606" s="55" t="inlineStr">
        <is>
          <t>x</t>
        </is>
      </c>
      <c r="G606" s="55" t="n"/>
      <c r="H606" s="55" t="n"/>
      <c r="I606" s="56" t="n"/>
      <c r="J606" s="121" t="n"/>
      <c r="K606" s="121" t="n"/>
      <c r="L606" s="121" t="n"/>
      <c r="M606" s="121" t="n"/>
    </row>
    <row r="607" ht="18.75" customHeight="1" s="215">
      <c r="A607" s="152" t="n"/>
      <c r="B607" s="149" t="n">
        <v>590</v>
      </c>
      <c r="C607" s="223" t="inlineStr">
        <is>
          <t>NFF-590 – DUEÑO (empleados) - modo oscuro – Bloque de perfil de usuario (Sidebar): Fondo gris muy oscuro, avatar circular naranja con letra "D" blanca.</t>
        </is>
      </c>
      <c r="D607" s="218" t="n"/>
      <c r="E607" s="153" t="n"/>
      <c r="F607" s="55" t="inlineStr">
        <is>
          <t>x</t>
        </is>
      </c>
      <c r="G607" s="55" t="n"/>
      <c r="H607" s="55" t="n"/>
      <c r="I607" s="56" t="n"/>
      <c r="J607" s="121" t="n"/>
      <c r="K607" s="121" t="n"/>
      <c r="L607" s="121" t="n"/>
      <c r="M607" s="121" t="n"/>
    </row>
    <row r="608" ht="18.75" customHeight="1" s="215">
      <c r="A608" s="152" t="n"/>
      <c r="B608" s="149" t="n">
        <v>591</v>
      </c>
      <c r="C608" s="223" t="inlineStr">
        <is>
          <t>NFF-591 – DUEÑO (empleados) - modo oscuro – Fondo general de la interfaz: Color negro sólido o gris carbón muy oscuro (#0a0a0a).</t>
        </is>
      </c>
      <c r="D608" s="218" t="n"/>
      <c r="E608" s="153" t="n"/>
      <c r="F608" s="55" t="inlineStr">
        <is>
          <t>x</t>
        </is>
      </c>
      <c r="G608" s="55" t="n"/>
      <c r="H608" s="55" t="n"/>
      <c r="I608" s="56" t="n"/>
      <c r="J608" s="121" t="n"/>
      <c r="K608" s="121" t="n"/>
      <c r="L608" s="121" t="n"/>
      <c r="M608" s="121" t="n"/>
    </row>
    <row r="609" ht="18.75" customHeight="1" s="215">
      <c r="A609" s="152" t="n"/>
      <c r="B609" s="149" t="n">
        <v>592</v>
      </c>
      <c r="C609" s="223" t="inlineStr">
        <is>
          <t>NFF-592 – DUEÑO (clientes) - modo oscuro – Indicador de sección (Breadcrumb): Texto "Clientes" en gris claro, tamaño pequeño, ubicado sobre el título principal.</t>
        </is>
      </c>
      <c r="D609" s="218" t="n"/>
      <c r="E609" s="153" t="n"/>
      <c r="F609" s="55" t="inlineStr">
        <is>
          <t>x</t>
        </is>
      </c>
      <c r="G609" s="55" t="n"/>
      <c r="H609" s="55" t="n"/>
      <c r="I609" s="56" t="n"/>
      <c r="J609" s="121" t="n"/>
      <c r="K609" s="121" t="n"/>
      <c r="L609" s="121" t="n"/>
      <c r="M609" s="121" t="n"/>
    </row>
    <row r="610" ht="18.75" customHeight="1" s="215">
      <c r="A610" s="152" t="n"/>
      <c r="B610" s="149" t="n">
        <v>593</v>
      </c>
      <c r="C610" s="223" t="inlineStr">
        <is>
          <t>NFF-593 – DUEÑO (clientes) - modo oscuro – Título principal "Buenas tardes": Texto en blanco puro, peso bold y fuente sans-serif.</t>
        </is>
      </c>
      <c r="D610" s="218" t="n"/>
      <c r="E610" s="153" t="n"/>
      <c r="F610" s="55" t="inlineStr">
        <is>
          <t>x</t>
        </is>
      </c>
      <c r="G610" s="55" t="n"/>
      <c r="H610" s="55" t="n"/>
      <c r="I610" s="56" t="n"/>
      <c r="J610" s="121" t="n"/>
      <c r="K610" s="121" t="n"/>
      <c r="L610" s="121" t="n"/>
      <c r="M610" s="121" t="n"/>
    </row>
    <row r="611" ht="18.75" customHeight="1" s="215">
      <c r="A611" s="152" t="n"/>
      <c r="B611" s="149" t="n">
        <v>594</v>
      </c>
      <c r="C611" s="223" t="inlineStr">
        <is>
          <t>NFF-594 – DUEÑO (clientes) - modo oscuro – Subtítulo descriptivo de cabecera: Texto gris medio ("Gestiona tu restaurante, reservas y facturación...") debajo del título principal.</t>
        </is>
      </c>
      <c r="D611" s="218" t="n"/>
      <c r="E611" s="153" t="n"/>
      <c r="F611" s="55" t="inlineStr">
        <is>
          <t>x</t>
        </is>
      </c>
      <c r="G611" s="55" t="n"/>
      <c r="H611" s="55" t="n"/>
      <c r="I611" s="56" t="n"/>
      <c r="J611" s="121" t="n"/>
      <c r="K611" s="121" t="n"/>
      <c r="L611" s="121" t="n"/>
      <c r="M611" s="121" t="n"/>
    </row>
    <row r="612" ht="18.75" customHeight="1" s="215">
      <c r="A612" s="152" t="n"/>
      <c r="B612" s="149" t="n">
        <v>595</v>
      </c>
      <c r="C612" s="223" t="inlineStr">
        <is>
          <t>NFF-595 – DUEÑO (clientes) - modo oscuro – Contador de registros: Texto "1 cliente" en gris claro, fuente pequeña, ubicado sobre el margen superior de la tabla.</t>
        </is>
      </c>
      <c r="D612" s="218" t="n"/>
      <c r="E612" s="153" t="n"/>
      <c r="F612" s="55" t="inlineStr">
        <is>
          <t>x</t>
        </is>
      </c>
      <c r="G612" s="55" t="n"/>
      <c r="H612" s="55" t="n"/>
      <c r="I612" s="56" t="n"/>
      <c r="J612" s="121" t="n"/>
      <c r="K612" s="121" t="n"/>
      <c r="L612" s="121" t="n"/>
      <c r="M612" s="121" t="n"/>
    </row>
    <row r="613" ht="18.75" customHeight="1" s="215">
      <c r="A613" s="152" t="n"/>
      <c r="B613" s="149" t="n">
        <v>596</v>
      </c>
      <c r="C613" s="223" t="inlineStr">
        <is>
          <t>NFF-596 – DUEÑO (clientes) - modo oscuro – Contenedor de tabla principal: Fondo gris carbón muy oscuro, borde delgado gris y border-radius de 12px.</t>
        </is>
      </c>
      <c r="D613" s="218" t="n"/>
      <c r="E613" s="153" t="n"/>
      <c r="F613" s="55" t="inlineStr">
        <is>
          <t>x</t>
        </is>
      </c>
      <c r="G613" s="55" t="n"/>
      <c r="H613" s="55" t="n"/>
      <c r="I613" s="56" t="n"/>
      <c r="J613" s="121" t="n"/>
      <c r="K613" s="121" t="n"/>
      <c r="L613" s="121" t="n"/>
      <c r="M613" s="121" t="n"/>
    </row>
    <row r="614" ht="18.75" customHeight="1" s="215">
      <c r="A614" s="152" t="n"/>
      <c r="B614" s="149" t="n">
        <v>597</v>
      </c>
      <c r="C614" s="223" t="inlineStr">
        <is>
          <t>NFF-597 – DUEÑO (clientes) - modo oscuro – Encabezado de tabla: Fondo gris muy oscuro con texto gris claro en peso semi-bold.</t>
        </is>
      </c>
      <c r="D614" s="218" t="n"/>
      <c r="E614" s="153" t="n"/>
      <c r="F614" s="55" t="inlineStr">
        <is>
          <t>x</t>
        </is>
      </c>
      <c r="G614" s="55" t="n"/>
      <c r="H614" s="55" t="n"/>
      <c r="I614" s="56" t="n"/>
      <c r="J614" s="121" t="n"/>
      <c r="K614" s="121" t="n"/>
      <c r="L614" s="121" t="n"/>
      <c r="M614" s="121" t="n"/>
    </row>
    <row r="615" ht="18.75" customHeight="1" s="215">
      <c r="A615" s="152" t="n"/>
      <c r="B615" s="149" t="n">
        <v>598</v>
      </c>
      <c r="C615" s="223" t="inlineStr">
        <is>
          <t>NFF-598 – DUEÑO (clientes) - modo oscuro – Definición de columnas: "Cliente", "Email", "Reservas" y "Última visita" con alineación a la izquierda.</t>
        </is>
      </c>
      <c r="D615" s="218" t="n"/>
      <c r="E615" s="153" t="n"/>
      <c r="F615" s="55" t="inlineStr">
        <is>
          <t>x</t>
        </is>
      </c>
      <c r="G615" s="55" t="n"/>
      <c r="H615" s="55" t="n"/>
      <c r="I615" s="56" t="n"/>
      <c r="J615" s="121" t="n"/>
      <c r="K615" s="121" t="n"/>
      <c r="L615" s="121" t="n"/>
      <c r="M615" s="121" t="n"/>
    </row>
    <row r="616" ht="18.75" customHeight="1" s="215">
      <c r="A616" s="152" t="n"/>
      <c r="B616" s="149" t="n">
        <v>599</v>
      </c>
      <c r="C616" s="223" t="inlineStr">
        <is>
          <t>NFF-599 – DUEÑO (clientes) - modo oscuro – Fila de datos: Fondo negro/gris oscuro sólido con texto en blanco puro para los registros individuales.</t>
        </is>
      </c>
      <c r="D616" s="218" t="n"/>
      <c r="E616" s="153" t="n"/>
      <c r="F616" s="55" t="inlineStr">
        <is>
          <t>x</t>
        </is>
      </c>
      <c r="G616" s="55" t="n"/>
      <c r="H616" s="55" t="n"/>
      <c r="I616" s="56" t="n"/>
      <c r="J616" s="121" t="n"/>
      <c r="K616" s="121" t="n"/>
      <c r="L616" s="121" t="n"/>
      <c r="M616" s="121" t="n"/>
    </row>
    <row r="617" ht="18.75" customHeight="1" s="215">
      <c r="A617" s="152" t="n"/>
      <c r="B617" s="149" t="n">
        <v>600</v>
      </c>
      <c r="C617" s="223" t="inlineStr">
        <is>
          <t>NFF-600 – DUEÑO (clientes) - modo oscuro – Ítem activo "Clientes" (Sidebar): Fondo rojo oscuro (#991b1b), texto blanco puro y borde izquierdo rojo brillante; border-radius 8px.</t>
        </is>
      </c>
      <c r="D617" s="218" t="n"/>
      <c r="E617" s="153" t="n"/>
      <c r="F617" s="55" t="inlineStr">
        <is>
          <t>x</t>
        </is>
      </c>
      <c r="G617" s="55" t="n"/>
      <c r="H617" s="55" t="n"/>
      <c r="I617" s="56" t="n"/>
      <c r="J617" s="121" t="n"/>
      <c r="K617" s="121" t="n"/>
      <c r="L617" s="121" t="n"/>
      <c r="M617" s="121" t="n"/>
    </row>
    <row r="618" ht="18.75" customHeight="1" s="215">
      <c r="A618" s="152" t="n"/>
      <c r="B618" s="149" t="n">
        <v>601</v>
      </c>
      <c r="C618" s="223" t="inlineStr">
        <is>
          <t>NFF-601 – DUEÑO (clientes) - modo oscuro – Bloque de perfil de usuario (Sidebar): Fondo gris muy oscuro, avatar circular naranja con letra "D" blanca.</t>
        </is>
      </c>
      <c r="D618" s="218" t="n"/>
      <c r="E618" s="153" t="n"/>
      <c r="F618" s="55" t="inlineStr">
        <is>
          <t>x</t>
        </is>
      </c>
      <c r="G618" s="55" t="n"/>
      <c r="H618" s="55" t="n"/>
      <c r="I618" s="56" t="n"/>
      <c r="J618" s="121" t="n"/>
      <c r="K618" s="121" t="n"/>
      <c r="L618" s="121" t="n"/>
      <c r="M618" s="121" t="n"/>
    </row>
    <row r="619" ht="18.75" customHeight="1" s="215">
      <c r="A619" s="152" t="n"/>
      <c r="B619" s="149" t="n">
        <v>602</v>
      </c>
      <c r="C619" s="223" t="inlineStr">
        <is>
          <t>NFF-602 – DUEÑO (clientes) - modo oscuro – Fondo general de la interfaz: Color negro sólido o gris carbón muy oscuro (#0a0a0a).</t>
        </is>
      </c>
      <c r="D619" s="218" t="n"/>
      <c r="E619" s="153" t="n"/>
      <c r="F619" s="55" t="inlineStr">
        <is>
          <t>x</t>
        </is>
      </c>
      <c r="G619" s="55" t="n"/>
      <c r="H619" s="55" t="n"/>
      <c r="I619" s="56" t="n"/>
      <c r="J619" s="121" t="n"/>
      <c r="K619" s="121" t="n"/>
      <c r="L619" s="121" t="n"/>
      <c r="M619" s="121" t="n"/>
    </row>
    <row r="620" ht="18.75" customHeight="1" s="215">
      <c r="A620" s="152" t="n"/>
      <c r="B620" s="149" t="n">
        <v>603</v>
      </c>
      <c r="C620" s="223" t="inlineStr">
        <is>
          <t>NFF-603 – DUEÑO (correos) - modo oscuro – Fondo general de la interfaz: Color negro sólido o gris carbón muy oscuro (#0a0a0a).</t>
        </is>
      </c>
      <c r="D620" s="218" t="n"/>
      <c r="E620" s="153" t="n"/>
      <c r="F620" s="55" t="inlineStr">
        <is>
          <t>x</t>
        </is>
      </c>
      <c r="G620" s="55" t="n"/>
      <c r="H620" s="55" t="n"/>
      <c r="I620" s="56" t="n"/>
      <c r="J620" s="121" t="n"/>
      <c r="K620" s="121" t="n"/>
      <c r="L620" s="121" t="n"/>
      <c r="M620" s="121" t="n"/>
    </row>
    <row r="621" ht="18.75" customHeight="1" s="215">
      <c r="A621" s="152" t="n"/>
      <c r="B621" s="149" t="n">
        <v>604</v>
      </c>
      <c r="C621" s="223" t="inlineStr">
        <is>
          <t>NFF-604 – DUEÑO (correos) - modo oscuro – Indicador de sección (Breadcrumb): Texto "Correos" en gris claro, tamaño pequeño, ubicado sobre el título principal.</t>
        </is>
      </c>
      <c r="D621" s="218" t="n"/>
      <c r="E621" s="153" t="n"/>
      <c r="F621" s="55" t="inlineStr">
        <is>
          <t>x</t>
        </is>
      </c>
      <c r="G621" s="55" t="n"/>
      <c r="H621" s="55" t="n"/>
      <c r="I621" s="56" t="n"/>
      <c r="J621" s="121" t="n"/>
      <c r="K621" s="121" t="n"/>
      <c r="L621" s="121" t="n"/>
      <c r="M621" s="121" t="n"/>
    </row>
    <row r="622" ht="18.75" customHeight="1" s="215">
      <c r="A622" s="152" t="n"/>
      <c r="B622" s="149" t="n">
        <v>605</v>
      </c>
      <c r="C622" s="223" t="inlineStr">
        <is>
          <t>NFF-605 – DUEÑO (correos) - modo oscuro – Título principal "Buenas tardes": Texto en blanco puro, peso bold y fuente sans-serif.</t>
        </is>
      </c>
      <c r="D622" s="218" t="n"/>
      <c r="E622" s="153" t="n"/>
      <c r="F622" s="55" t="inlineStr">
        <is>
          <t>x</t>
        </is>
      </c>
      <c r="G622" s="55" t="n"/>
      <c r="H622" s="55" t="n"/>
      <c r="I622" s="56" t="n"/>
      <c r="J622" s="121" t="n"/>
      <c r="K622" s="121" t="n"/>
      <c r="L622" s="121" t="n"/>
      <c r="M622" s="121" t="n"/>
    </row>
    <row r="623" ht="18.75" customHeight="1" s="215">
      <c r="A623" s="152" t="n"/>
      <c r="B623" s="149" t="n">
        <v>606</v>
      </c>
      <c r="C623" s="223" t="inlineStr">
        <is>
          <t>NFF-606 – DUEÑO (correos) - modo oscuro – Subtítulo descriptivo de cabecera: Texto gris medio debajo del título principal.</t>
        </is>
      </c>
      <c r="D623" s="218" t="n"/>
      <c r="E623" s="153" t="n"/>
      <c r="F623" s="55" t="inlineStr">
        <is>
          <t>x</t>
        </is>
      </c>
      <c r="G623" s="55" t="n"/>
      <c r="H623" s="55" t="n"/>
      <c r="I623" s="56" t="n"/>
      <c r="J623" s="121" t="n"/>
      <c r="K623" s="121" t="n"/>
      <c r="L623" s="121" t="n"/>
      <c r="M623" s="121" t="n"/>
    </row>
    <row r="624" ht="18.75" customHeight="1" s="215">
      <c r="A624" s="152" t="n"/>
      <c r="B624" s="149" t="n">
        <v>607</v>
      </c>
      <c r="C624" s="223" t="inlineStr">
        <is>
          <t>NFF-607 – DUEÑO (correos) - modo oscuro – Tarjeta principal de correos: Fondo gris carbón muy oscuro, borde delgado gris y border-radius de aproximadamente 12px.</t>
        </is>
      </c>
      <c r="D624" s="218" t="n"/>
      <c r="E624" s="153" t="n"/>
      <c r="F624" s="55" t="inlineStr">
        <is>
          <t>x</t>
        </is>
      </c>
      <c r="G624" s="55" t="n"/>
      <c r="H624" s="55" t="n"/>
      <c r="I624" s="56" t="n"/>
      <c r="J624" s="121" t="n"/>
      <c r="K624" s="121" t="n"/>
      <c r="L624" s="121" t="n"/>
      <c r="M624" s="121" t="n"/>
    </row>
    <row r="625" ht="18.75" customHeight="1" s="215">
      <c r="A625" s="152" t="n"/>
      <c r="B625" s="149" t="n">
        <v>608</v>
      </c>
      <c r="C625" s="223" t="inlineStr">
        <is>
          <t>NFF-608 – DUEÑO (correos) - modo oscuro – Encabezado de la tarjeta: Icono lineal de sobre seguido del texto "Correos no leídos" en blanco bold.</t>
        </is>
      </c>
      <c r="D625" s="218" t="n"/>
      <c r="E625" s="153" t="n"/>
      <c r="F625" s="55" t="inlineStr">
        <is>
          <t>x</t>
        </is>
      </c>
      <c r="G625" s="55" t="n"/>
      <c r="H625" s="55" t="n"/>
      <c r="I625" s="56" t="n"/>
      <c r="J625" s="121" t="n"/>
      <c r="K625" s="121" t="n"/>
      <c r="L625" s="121" t="n"/>
      <c r="M625" s="121" t="n"/>
    </row>
    <row r="626" ht="18.75" customHeight="1" s="215">
      <c r="A626" s="152" t="n"/>
      <c r="B626" s="149" t="n">
        <v>609</v>
      </c>
      <c r="C626" s="223" t="inlineStr">
        <is>
          <t>NFF-609 – DUEÑO (correos) - modo oscuro – Botón "Actualizar": Fondo transparente con borde gris fino, texto blanco e icono de rotación; border-radius de 8px.</t>
        </is>
      </c>
      <c r="D626" s="218" t="n"/>
      <c r="E626" s="153" t="n"/>
      <c r="F626" s="55" t="inlineStr">
        <is>
          <t>x</t>
        </is>
      </c>
      <c r="G626" s="55" t="n"/>
      <c r="H626" s="55" t="n"/>
      <c r="I626" s="56" t="n"/>
      <c r="J626" s="121" t="n"/>
      <c r="K626" s="121" t="n"/>
      <c r="L626" s="121" t="n"/>
      <c r="M626" s="121" t="n"/>
    </row>
    <row r="627" ht="18.75" customHeight="1" s="215">
      <c r="A627" s="152" t="n"/>
      <c r="B627" s="149" t="n">
        <v>610</v>
      </c>
      <c r="C627" s="223" t="inlineStr">
        <is>
          <t>NFF-610 – DUEÑO (correos) - modo oscuro – Fila de correo individual: Separación visual mediante un borde inferior gris oscuro muy tenue.</t>
        </is>
      </c>
      <c r="D627" s="218" t="n"/>
      <c r="E627" s="153" t="n"/>
      <c r="F627" s="55" t="inlineStr">
        <is>
          <t>x</t>
        </is>
      </c>
      <c r="G627" s="55" t="n"/>
      <c r="H627" s="55" t="n"/>
      <c r="I627" s="56" t="n"/>
      <c r="J627" s="121" t="n"/>
      <c r="K627" s="121" t="n"/>
      <c r="L627" s="121" t="n"/>
      <c r="M627" s="121" t="n"/>
    </row>
    <row r="628" ht="18.75" customHeight="1" s="215">
      <c r="A628" s="152" t="n"/>
      <c r="B628" s="149" t="n">
        <v>611</v>
      </c>
      <c r="C628" s="223" t="inlineStr">
        <is>
          <t>NFF-611 – DUEÑO (correos) - modo oscuro – Título del correo (Asunto): Texto en blanco con peso bold para destacar el contenido.</t>
        </is>
      </c>
      <c r="D628" s="218" t="n"/>
      <c r="E628" s="153" t="n"/>
      <c r="F628" s="55" t="inlineStr">
        <is>
          <t>x</t>
        </is>
      </c>
      <c r="G628" s="55" t="n"/>
      <c r="H628" s="55" t="n"/>
      <c r="I628" s="56" t="n"/>
      <c r="J628" s="121" t="n"/>
      <c r="K628" s="121" t="n"/>
      <c r="L628" s="121" t="n"/>
      <c r="M628" s="121" t="n"/>
    </row>
    <row r="629" ht="18.75" customHeight="1" s="215">
      <c r="A629" s="152" t="n"/>
      <c r="B629" s="149" t="n">
        <v>612</v>
      </c>
      <c r="C629" s="223" t="inlineStr">
        <is>
          <t>NFF-612 – DUEÑO (correos) - modo oscuro – Remitente y vista previa del mensaje: Texto en gris claro/medio ubicado inmediatamente debajo del asunto.</t>
        </is>
      </c>
      <c r="D629" s="218" t="n"/>
      <c r="E629" s="153" t="n"/>
      <c r="F629" s="55" t="inlineStr">
        <is>
          <t>x</t>
        </is>
      </c>
      <c r="G629" s="55" t="n"/>
      <c r="H629" s="55" t="n"/>
      <c r="I629" s="56" t="n"/>
      <c r="J629" s="121" t="n"/>
      <c r="K629" s="121" t="n"/>
      <c r="L629" s="121" t="n"/>
      <c r="M629" s="121" t="n"/>
    </row>
    <row r="630" ht="18.75" customHeight="1" s="215">
      <c r="A630" s="152" t="n"/>
      <c r="B630" s="149" t="n">
        <v>613</v>
      </c>
      <c r="C630" s="223" t="inlineStr">
        <is>
          <t>NFF-613 – DUEÑO (correos) - modo oscuro – Marca de tiempo: Texto gris claro con la fecha y hora, posicionado en el extremo superior derecho de cada fila de correo.</t>
        </is>
      </c>
      <c r="D630" s="218" t="n"/>
      <c r="E630" s="153" t="n"/>
      <c r="F630" s="55" t="inlineStr">
        <is>
          <t>x</t>
        </is>
      </c>
      <c r="G630" s="55" t="n"/>
      <c r="H630" s="55" t="n"/>
      <c r="I630" s="56" t="n"/>
      <c r="J630" s="121" t="n"/>
      <c r="K630" s="121" t="n"/>
      <c r="L630" s="121" t="n"/>
      <c r="M630" s="121" t="n"/>
    </row>
    <row r="631" ht="18.75" customHeight="1" s="215">
      <c r="A631" s="152" t="n"/>
      <c r="B631" s="149" t="n">
        <v>614</v>
      </c>
      <c r="C631" s="223" t="inlineStr">
        <is>
          <t>NFF-614 – DUEÑO (correos) - modo oscuro – Ítem activo "Correos" (Sidebar): Fondo rojo oscuro (#991b1b), texto blanco puro y borde izquierdo rojo brillante.</t>
        </is>
      </c>
      <c r="D631" s="218" t="n"/>
      <c r="E631" s="153" t="n"/>
      <c r="F631" s="55" t="inlineStr">
        <is>
          <t>x</t>
        </is>
      </c>
      <c r="G631" s="55" t="n"/>
      <c r="H631" s="55" t="n"/>
      <c r="I631" s="56" t="n"/>
      <c r="J631" s="121" t="n"/>
      <c r="K631" s="121" t="n"/>
      <c r="L631" s="121" t="n"/>
      <c r="M631" s="121" t="n"/>
    </row>
    <row r="632" ht="18.75" customHeight="1" s="215">
      <c r="A632" s="152" t="n"/>
      <c r="B632" s="149" t="n">
        <v>615</v>
      </c>
      <c r="C632" s="223" t="inlineStr">
        <is>
          <t>NFF-615 – DUEÑO (correos) - modo oscuro – Bloque de perfil de usuario (Sidebar): Fondo gris muy oscuro con avatar circular naranja e inicial "D" en blanco.</t>
        </is>
      </c>
      <c r="D632" s="218" t="n"/>
      <c r="E632" s="153" t="n"/>
      <c r="F632" s="55" t="inlineStr">
        <is>
          <t>x</t>
        </is>
      </c>
      <c r="G632" s="55" t="n"/>
      <c r="H632" s="55" t="n"/>
      <c r="I632" s="56" t="n"/>
      <c r="J632" s="121" t="n"/>
      <c r="K632" s="121" t="n"/>
      <c r="L632" s="121" t="n"/>
      <c r="M632" s="121" t="n"/>
    </row>
    <row r="633" ht="18.75" customHeight="1" s="215">
      <c r="A633" s="152" t="n"/>
      <c r="B633" s="149" t="n">
        <v>616</v>
      </c>
      <c r="C633" s="223" t="inlineStr">
        <is>
          <t>NFF-616 – DUEÑO (configuracion) - modo oscuro – Indicador de sección (Breadcrumb): Texto "Configuración" en gris claro, tamaño pequeño, posicionado sobre el título principal.</t>
        </is>
      </c>
      <c r="D633" s="218" t="n"/>
      <c r="E633" s="153" t="n"/>
      <c r="F633" s="55" t="inlineStr">
        <is>
          <t>x</t>
        </is>
      </c>
      <c r="G633" s="55" t="n"/>
      <c r="H633" s="55" t="n"/>
      <c r="I633" s="56" t="n"/>
      <c r="J633" s="121" t="n"/>
      <c r="K633" s="121" t="n"/>
      <c r="L633" s="121" t="n"/>
      <c r="M633" s="121" t="n"/>
    </row>
    <row r="634" ht="18.75" customHeight="1" s="215">
      <c r="A634" s="152" t="n"/>
      <c r="B634" s="149" t="n">
        <v>617</v>
      </c>
      <c r="C634" s="223" t="inlineStr">
        <is>
          <t>NFF-617 – DUEÑO (configuracion) - modo oscuro – Título principal "Buenas tardes": Texto en blanco puro, peso bold y fuente sans-serif.</t>
        </is>
      </c>
      <c r="D634" s="218" t="n"/>
      <c r="E634" s="153" t="n"/>
      <c r="F634" s="55" t="inlineStr">
        <is>
          <t>x</t>
        </is>
      </c>
      <c r="G634" s="55" t="n"/>
      <c r="H634" s="55" t="n"/>
      <c r="I634" s="56" t="n"/>
      <c r="J634" s="121" t="n"/>
      <c r="K634" s="121" t="n"/>
      <c r="L634" s="121" t="n"/>
      <c r="M634" s="121" t="n"/>
    </row>
    <row r="635" ht="18.75" customHeight="1" s="215">
      <c r="A635" s="152" t="n"/>
      <c r="B635" s="149" t="n">
        <v>618</v>
      </c>
      <c r="C635" s="223" t="inlineStr">
        <is>
          <t>NFF-618 – DUEÑO (configuracion) - modo oscuro – Subtítulo descriptivo de cabecera: Texto gris medio ("Gestiona tu restaurante, reservas y facturación...") debajo del título principal.</t>
        </is>
      </c>
      <c r="D635" s="218" t="n"/>
      <c r="E635" s="153" t="n"/>
      <c r="F635" s="55" t="inlineStr">
        <is>
          <t>x</t>
        </is>
      </c>
      <c r="G635" s="55" t="n"/>
      <c r="H635" s="55" t="n"/>
      <c r="I635" s="56" t="n"/>
      <c r="J635" s="121" t="n"/>
      <c r="K635" s="121" t="n"/>
      <c r="L635" s="121" t="n"/>
      <c r="M635" s="121" t="n"/>
    </row>
    <row r="636" ht="18.75" customHeight="1" s="215">
      <c r="A636" s="152" t="n"/>
      <c r="B636" s="149" t="n">
        <v>619</v>
      </c>
      <c r="C636" s="223" t="inlineStr">
        <is>
          <t>NFF-619 – DUEÑO (configuracion) - modo oscuro – Tarjetas de configuración (SMTP e IMAP): Fondo gris carbón muy oscuro, borde delgado gris y border-radius de 12px.</t>
        </is>
      </c>
      <c r="D636" s="218" t="n"/>
      <c r="E636" s="153" t="n"/>
      <c r="F636" s="55" t="inlineStr">
        <is>
          <t>x</t>
        </is>
      </c>
      <c r="G636" s="55" t="n"/>
      <c r="H636" s="55" t="n"/>
      <c r="I636" s="56" t="n"/>
      <c r="J636" s="121" t="n"/>
      <c r="K636" s="121" t="n"/>
      <c r="L636" s="121" t="n"/>
      <c r="M636" s="121" t="n"/>
    </row>
    <row r="637" ht="18.75" customHeight="1" s="215">
      <c r="A637" s="152" t="n"/>
      <c r="B637" s="149" t="n">
        <v>620</v>
      </c>
      <c r="C637" s="223" t="inlineStr">
        <is>
          <t>NFF-620 – DUEÑO (configuracion) - modo oscuro – Título de sección SMTP: Texto en blanco con icono lineal de avión de papel y descripción técnica en gris medio.</t>
        </is>
      </c>
      <c r="D637" s="218" t="n"/>
      <c r="E637" s="153" t="n"/>
      <c r="F637" s="55" t="inlineStr">
        <is>
          <t>x</t>
        </is>
      </c>
      <c r="G637" s="55" t="n"/>
      <c r="H637" s="55" t="n"/>
      <c r="I637" s="56" t="n"/>
      <c r="J637" s="121" t="n"/>
      <c r="K637" s="121" t="n"/>
      <c r="L637" s="121" t="n"/>
      <c r="M637" s="121" t="n"/>
    </row>
    <row r="638" ht="18.75" customHeight="1" s="215">
      <c r="A638" s="152" t="n"/>
      <c r="B638" s="149" t="n">
        <v>621</v>
      </c>
      <c r="C638" s="223" t="inlineStr">
        <is>
          <t>NFF-621 – DUEÑO (configuracion) - modo oscuro – Título de sección IMAP: Texto en blanco con icono lineal de sobre y descripción técnica en gris medio.</t>
        </is>
      </c>
      <c r="D638" s="218" t="n"/>
      <c r="E638" s="153" t="n"/>
      <c r="F638" s="55" t="inlineStr">
        <is>
          <t>x</t>
        </is>
      </c>
      <c r="G638" s="55" t="n"/>
      <c r="H638" s="55" t="n"/>
      <c r="I638" s="56" t="n"/>
      <c r="J638" s="121" t="n"/>
      <c r="K638" s="121" t="n"/>
      <c r="L638" s="121" t="n"/>
      <c r="M638" s="121" t="n"/>
    </row>
    <row r="639" ht="18.75" customHeight="1" s="215">
      <c r="A639" s="152" t="n"/>
      <c r="B639" s="149" t="n">
        <v>622</v>
      </c>
      <c r="C639" s="223" t="inlineStr">
        <is>
          <t>NFF-622 – DUEÑO (configuracion) - modo oscuro – Etiquetas de campos (Labels): Texto gris claro, tamaño de fuente pequeño y peso regular (Host, Puerto, Usuario, etc.).</t>
        </is>
      </c>
      <c r="D639" s="218" t="n"/>
      <c r="E639" s="153" t="n"/>
      <c r="F639" s="55" t="inlineStr">
        <is>
          <t>x</t>
        </is>
      </c>
      <c r="G639" s="55" t="n"/>
      <c r="H639" s="55" t="n"/>
      <c r="I639" s="56" t="n"/>
      <c r="J639" s="121" t="n"/>
      <c r="K639" s="121" t="n"/>
      <c r="L639" s="121" t="n"/>
      <c r="M639" s="121" t="n"/>
    </row>
    <row r="640" ht="18.75" customHeight="1" s="215">
      <c r="A640" s="152" t="n"/>
      <c r="B640" s="149" t="n">
        <v>623</v>
      </c>
      <c r="C640" s="223" t="inlineStr">
        <is>
          <t>NFF-623 – DUEÑO (configuracion) - modo oscuro – Cajas de entrada (Inputs): Fondo negro sólido, borde gris oscuro y border-radius de 8px; altura aproximada de 40px.</t>
        </is>
      </c>
      <c r="D640" s="218" t="n"/>
      <c r="E640" s="153" t="n"/>
      <c r="F640" s="55" t="inlineStr">
        <is>
          <t>x</t>
        </is>
      </c>
      <c r="G640" s="55" t="n"/>
      <c r="H640" s="55" t="n"/>
      <c r="I640" s="56" t="n"/>
      <c r="J640" s="121" t="n"/>
      <c r="K640" s="121" t="n"/>
      <c r="L640" s="121" t="n"/>
      <c r="M640" s="121" t="n"/>
    </row>
    <row r="641" ht="18.75" customHeight="1" s="215">
      <c r="A641" s="152" t="n"/>
      <c r="B641" s="149" t="n">
        <v>624</v>
      </c>
      <c r="C641" s="223" t="inlineStr">
        <is>
          <t>NFF-624 – DUEÑO (configuracion) - modo oscuro – Botón "Guardar SMTP": Fondo rojo intenso (#991b1b), texto blanco y peso bold; border-radius de 8px.</t>
        </is>
      </c>
      <c r="D641" s="218" t="n"/>
      <c r="E641" s="153" t="n"/>
      <c r="F641" s="55" t="inlineStr">
        <is>
          <t>x</t>
        </is>
      </c>
      <c r="G641" s="55" t="n"/>
      <c r="H641" s="55" t="n"/>
      <c r="I641" s="56" t="n"/>
      <c r="J641" s="121" t="n"/>
      <c r="K641" s="121" t="n"/>
      <c r="L641" s="121" t="n"/>
      <c r="M641" s="121" t="n"/>
    </row>
    <row r="642" ht="18.75" customHeight="1" s="215">
      <c r="A642" s="152" t="n"/>
      <c r="B642" s="149" t="n">
        <v>625</v>
      </c>
      <c r="C642" s="223" t="inlineStr">
        <is>
          <t>NFF-625 – DUEÑO (configuracion) - modo oscuro – Botón "Guardar IMAP": Fondo dorado/mostaza (#d4af37), texto negro y peso bold; border-radius de 8px.</t>
        </is>
      </c>
      <c r="D642" s="218" t="n"/>
      <c r="E642" s="153" t="n"/>
      <c r="F642" s="55" t="inlineStr">
        <is>
          <t>x</t>
        </is>
      </c>
      <c r="G642" s="55" t="n"/>
      <c r="H642" s="55" t="n"/>
      <c r="I642" s="56" t="n"/>
      <c r="J642" s="121" t="n"/>
      <c r="K642" s="121" t="n"/>
      <c r="L642" s="121" t="n"/>
      <c r="M642" s="121" t="n"/>
    </row>
    <row r="643" ht="18.75" customHeight="1" s="215">
      <c r="A643" s="152" t="n"/>
      <c r="B643" s="149" t="n">
        <v>626</v>
      </c>
      <c r="C643" s="223" t="inlineStr">
        <is>
          <t>NFF-626 – DUEÑO (configuracion) - modo oscuro – Ítem activo "Configuración" (Sidebar): Fondo rojo oscuro, texto blanco puro y borde izquierdo rojo brillante; border-radius de 8px.</t>
        </is>
      </c>
      <c r="D643" s="218" t="n"/>
      <c r="E643" s="153" t="n"/>
      <c r="F643" s="55" t="inlineStr">
        <is>
          <t>x</t>
        </is>
      </c>
      <c r="G643" s="55" t="n"/>
      <c r="H643" s="55" t="n"/>
      <c r="I643" s="56" t="n"/>
      <c r="J643" s="121" t="n"/>
      <c r="K643" s="121" t="n"/>
      <c r="L643" s="121" t="n"/>
      <c r="M643" s="121" t="n"/>
    </row>
    <row r="644" ht="18.75" customHeight="1" s="215">
      <c r="A644" s="152" t="n"/>
      <c r="B644" s="149" t="n">
        <v>627</v>
      </c>
      <c r="C644" s="223" t="inlineStr">
        <is>
          <t>NFF-627 – DUEÑO (configuracion) - modo oscuro – Bloque de perfil de usuario (Sidebar): Fondo gris muy oscuro, avatar circular naranja con letra "D" blanca.</t>
        </is>
      </c>
      <c r="D644" s="218" t="n"/>
      <c r="E644" s="153" t="n"/>
      <c r="F644" s="55" t="inlineStr">
        <is>
          <t>x</t>
        </is>
      </c>
      <c r="G644" s="55" t="n"/>
      <c r="H644" s="55" t="n"/>
      <c r="I644" s="56" t="n"/>
      <c r="J644" s="121" t="n"/>
      <c r="K644" s="121" t="n"/>
      <c r="L644" s="121" t="n"/>
      <c r="M644" s="121" t="n"/>
    </row>
    <row r="645" ht="18.75" customHeight="1" s="215">
      <c r="A645" s="152" t="n"/>
      <c r="B645" s="149" t="n">
        <v>628</v>
      </c>
      <c r="C645" s="223" t="inlineStr">
        <is>
          <t>NFF-628 – DUEÑO (configuracion) - modo oscuro – Fondo general de la interfaz: Color negro sólido o gris carbón muy oscuro (#0a0a0a).</t>
        </is>
      </c>
      <c r="D645" s="218" t="n"/>
      <c r="E645" s="153" t="n"/>
      <c r="F645" s="55" t="inlineStr">
        <is>
          <t>x</t>
        </is>
      </c>
      <c r="G645" s="55" t="n"/>
      <c r="H645" s="55" t="n"/>
      <c r="I645" s="56" t="n"/>
      <c r="J645" s="121" t="n"/>
      <c r="K645" s="121" t="n"/>
      <c r="L645" s="121" t="n"/>
      <c r="M645" s="121" t="n"/>
    </row>
    <row r="646" ht="18.75" customHeight="1" s="215">
      <c r="A646" s="152" t="n"/>
      <c r="B646" s="149" t="n">
        <v>629</v>
      </c>
      <c r="C646" s="223" t="inlineStr">
        <is>
          <t>NFF-629 – DUEÑO (Modales de gestion de restaurante) - modo oscuro – Cabecera del modal: Título "Configuración: [Nombre]" en blanco bold y subtexto descriptivo en gris claro sobre el borde superior.</t>
        </is>
      </c>
      <c r="D646" s="218" t="n"/>
      <c r="E646" s="153" t="n"/>
      <c r="F646" s="55" t="inlineStr">
        <is>
          <t>x</t>
        </is>
      </c>
      <c r="G646" s="55" t="n"/>
      <c r="H646" s="55" t="n"/>
      <c r="I646" s="56" t="n"/>
      <c r="J646" s="121" t="n"/>
      <c r="K646" s="121" t="n"/>
      <c r="L646" s="121" t="n"/>
      <c r="M646" s="121" t="n"/>
    </row>
    <row r="647" ht="18.75" customHeight="1" s="215">
      <c r="A647" s="152" t="n"/>
      <c r="B647" s="149" t="n">
        <v>630</v>
      </c>
      <c r="C647" s="223" t="inlineStr">
        <is>
          <t>NFF-630 – DUEÑO (Modales de gestion de restaurante) - modo oscuro – Sistema de pestañas (Tabs): Contenedor con fondo negro sólido e iconos lineales acompañando al texto de cada pestaña.</t>
        </is>
      </c>
      <c r="D647" s="218" t="n"/>
      <c r="E647" s="153" t="n"/>
      <c r="F647" s="55" t="inlineStr">
        <is>
          <t>x</t>
        </is>
      </c>
      <c r="G647" s="55" t="n"/>
      <c r="H647" s="55" t="n"/>
      <c r="I647" s="56" t="n"/>
      <c r="J647" s="121" t="n"/>
      <c r="K647" s="121" t="n"/>
      <c r="L647" s="121" t="n"/>
      <c r="M647" s="121" t="n"/>
    </row>
    <row r="648" ht="18.75" customHeight="1" s="215">
      <c r="A648" s="152" t="n"/>
      <c r="B648" s="149" t="n">
        <v>631</v>
      </c>
      <c r="C648" s="223" t="inlineStr">
        <is>
          <t>NFF-631 – DUEÑO (Modales de gestion de restaurante) - modo oscuro – Pestaña activa: Fondo color crema/dorado (#d6b77e aprox.), texto en negro y border-radius de 8px.</t>
        </is>
      </c>
      <c r="D648" s="218" t="n"/>
      <c r="E648" s="153" t="n"/>
      <c r="F648" s="55" t="inlineStr">
        <is>
          <t>x</t>
        </is>
      </c>
      <c r="G648" s="55" t="n"/>
      <c r="H648" s="55" t="n"/>
      <c r="I648" s="56" t="n"/>
      <c r="J648" s="121" t="n"/>
      <c r="K648" s="121" t="n"/>
      <c r="L648" s="121" t="n"/>
      <c r="M648" s="121" t="n"/>
    </row>
    <row r="649" ht="18.75" customHeight="1" s="215">
      <c r="A649" s="152" t="n"/>
      <c r="B649" s="149" t="n">
        <v>632</v>
      </c>
      <c r="C649" s="223" t="inlineStr">
        <is>
          <t>NFF-632 – DUEÑO (Modales de gestion de restaurante) - modo oscuro – Etiquetas de campos (Labels): Texto en blanco con peso bold, ubicado directamente sobre cada input.</t>
        </is>
      </c>
      <c r="D649" s="218" t="n"/>
      <c r="E649" s="153" t="n"/>
      <c r="F649" s="55" t="inlineStr">
        <is>
          <t>x</t>
        </is>
      </c>
      <c r="G649" s="55" t="n"/>
      <c r="H649" s="55" t="n"/>
      <c r="I649" s="56" t="n"/>
      <c r="J649" s="121" t="n"/>
      <c r="K649" s="121" t="n"/>
      <c r="L649" s="121" t="n"/>
      <c r="M649" s="121" t="n"/>
    </row>
    <row r="650" ht="18.75" customHeight="1" s="215">
      <c r="A650" s="152" t="n"/>
      <c r="B650" s="149" t="n">
        <v>633</v>
      </c>
      <c r="C650" s="223" t="inlineStr">
        <is>
          <t>NFF-633 – DUEÑO (Modales de gestion de restaurante) - modo oscuro – Cajas de entrada (Inputs): Fondo gris muy oscuro, borde gris tenue y texto en blanco; border-radius de 8px.</t>
        </is>
      </c>
      <c r="D650" s="218" t="n"/>
      <c r="E650" s="153" t="n"/>
      <c r="F650" s="55" t="inlineStr">
        <is>
          <t>x</t>
        </is>
      </c>
      <c r="G650" s="55" t="n"/>
      <c r="H650" s="55" t="n"/>
      <c r="I650" s="56" t="n"/>
      <c r="J650" s="121" t="n"/>
      <c r="K650" s="121" t="n"/>
      <c r="L650" s="121" t="n"/>
      <c r="M650" s="121" t="n"/>
    </row>
    <row r="651" ht="18.75" customHeight="1" s="215">
      <c r="A651" s="152" t="n"/>
      <c r="B651" s="149" t="n">
        <v>634</v>
      </c>
      <c r="C651" s="223" t="inlineStr">
        <is>
          <t>NFF-634 – DUEÑO (Modales de gestion de restaurante) - modo oscuro – Selectores de hora: Inputs con icono de reloj en el extremo derecho y formato de texto "12:00 a. m.".</t>
        </is>
      </c>
      <c r="D651" s="218" t="n"/>
      <c r="E651" s="153" t="n"/>
      <c r="F651" s="55" t="inlineStr">
        <is>
          <t>x</t>
        </is>
      </c>
      <c r="G651" s="55" t="n"/>
      <c r="H651" s="55" t="n"/>
      <c r="I651" s="56" t="n"/>
      <c r="J651" s="121" t="n"/>
      <c r="K651" s="121" t="n"/>
      <c r="L651" s="121" t="n"/>
      <c r="M651" s="121" t="n"/>
    </row>
    <row r="652" ht="18.75" customHeight="1" s="215">
      <c r="A652" s="152" t="n"/>
      <c r="B652" s="149" t="n">
        <v>635</v>
      </c>
      <c r="C652" s="223" t="inlineStr">
        <is>
          <t>NFF-635 – DUEÑO (Modales de gestion de restaurante) - modo oscuro – Botón de acción principal ("Guardar datos", "Agregar empleado"): Fondo rojo intenso (#991b1b), texto blanco bold y border-radius de 8px.</t>
        </is>
      </c>
      <c r="D652" s="218" t="n"/>
      <c r="E652" s="153" t="n"/>
      <c r="F652" s="55" t="inlineStr">
        <is>
          <t>x</t>
        </is>
      </c>
      <c r="G652" s="55" t="n"/>
      <c r="H652" s="55" t="n"/>
      <c r="I652" s="56" t="n"/>
      <c r="J652" s="121" t="n"/>
      <c r="K652" s="121" t="n"/>
      <c r="L652" s="121" t="n"/>
      <c r="M652" s="121" t="n"/>
    </row>
    <row r="653" ht="18.75" customHeight="1" s="215">
      <c r="A653" s="152" t="n"/>
      <c r="B653" s="149" t="n">
        <v>636</v>
      </c>
      <c r="C653" s="223" t="inlineStr">
        <is>
          <t>NFF-636 – DUEÑO (Modales de gestion de restaurante) - modo oscuro – Botón "Agregar mesa": Fondo rojo oscuro con icono "+" blanco a la izquierda del texto.</t>
        </is>
      </c>
      <c r="D653" s="218" t="n"/>
      <c r="E653" s="153" t="n"/>
      <c r="F653" s="55" t="inlineStr">
        <is>
          <t>x</t>
        </is>
      </c>
      <c r="G653" s="55" t="n"/>
      <c r="H653" s="55" t="n"/>
      <c r="I653" s="56" t="n"/>
      <c r="J653" s="121" t="n"/>
      <c r="K653" s="121" t="n"/>
      <c r="L653" s="121" t="n"/>
      <c r="M653" s="121" t="n"/>
    </row>
    <row r="654" ht="18.75" customHeight="1" s="215">
      <c r="A654" s="152" t="n"/>
      <c r="B654" s="149" t="n">
        <v>637</v>
      </c>
      <c r="C654" s="223" t="inlineStr">
        <is>
          <t>NFF-637 – DUEÑO (Modales de gestion de restaurante) - modo oscuro – Listado de elementos (Mesas/Empleados): Filas con fondo gris oscuro, bordes redondeados y alineación horizontal de datos.</t>
        </is>
      </c>
      <c r="D654" s="218" t="n"/>
      <c r="E654" s="153" t="n"/>
      <c r="F654" s="55" t="inlineStr">
        <is>
          <t>x</t>
        </is>
      </c>
      <c r="G654" s="55" t="n"/>
      <c r="H654" s="55" t="n"/>
      <c r="I654" s="56" t="n"/>
      <c r="J654" s="121" t="n"/>
      <c r="K654" s="121" t="n"/>
      <c r="L654" s="121" t="n"/>
      <c r="M654" s="121" t="n"/>
    </row>
    <row r="655" ht="18.75" customHeight="1" s="215">
      <c r="A655" s="152" t="n"/>
      <c r="B655" s="149" t="n">
        <v>638</v>
      </c>
      <c r="C655" s="223" t="inlineStr">
        <is>
          <t>NFF-638 – DUEÑO (Modales de gestion de restaurante) - modo oscuro – Indicadores de estado en mesas: Texto descriptivo (Mesa, personas, precio y estado) separado por puntos medios o guiones.</t>
        </is>
      </c>
      <c r="D655" s="218" t="n"/>
      <c r="E655" s="153" t="n"/>
      <c r="F655" s="55" t="inlineStr">
        <is>
          <t>x</t>
        </is>
      </c>
      <c r="G655" s="55" t="n"/>
      <c r="H655" s="55" t="n"/>
      <c r="I655" s="56" t="n"/>
      <c r="J655" s="121" t="n"/>
      <c r="K655" s="121" t="n"/>
      <c r="L655" s="121" t="n"/>
      <c r="M655" s="121" t="n"/>
    </row>
    <row r="656" ht="18.75" customHeight="1" s="215">
      <c r="A656" s="152" t="n"/>
      <c r="B656" s="149" t="n">
        <v>639</v>
      </c>
      <c r="C656" s="223" t="inlineStr">
        <is>
          <t>NFF-639 – DUEÑO (Modales de gestion de restaurante) - modo oscuro – Iconos de gestión en filas: Icono de lápiz (editar) en gris claro y papelera (eliminar) en rojo intenso.</t>
        </is>
      </c>
      <c r="D656" s="218" t="n"/>
      <c r="E656" s="153" t="n"/>
      <c r="F656" s="55" t="inlineStr">
        <is>
          <t>x</t>
        </is>
      </c>
      <c r="G656" s="55" t="n"/>
      <c r="H656" s="55" t="n"/>
      <c r="I656" s="56" t="n"/>
      <c r="J656" s="121" t="n"/>
      <c r="K656" s="121" t="n"/>
      <c r="L656" s="121" t="n"/>
      <c r="M656" s="121" t="n"/>
    </row>
    <row r="657" ht="18.75" customHeight="1" s="215">
      <c r="A657" s="152" t="n"/>
      <c r="B657" s="149" t="n">
        <v>640</v>
      </c>
      <c r="C657" s="223" t="inlineStr">
        <is>
          <t>NFF-640 – DUEÑO (Modales de gestion de restaurante) - modo oscuro – Selector de administrador: Menú desplegable (Dropdown) con fondo negro y flecha de apertura hacia abajo.</t>
        </is>
      </c>
      <c r="D657" s="218" t="n"/>
      <c r="E657" s="153" t="n"/>
      <c r="F657" s="55" t="inlineStr">
        <is>
          <t>x</t>
        </is>
      </c>
      <c r="G657" s="55" t="n"/>
      <c r="H657" s="55" t="n"/>
      <c r="I657" s="56" t="n"/>
      <c r="J657" s="121" t="n"/>
      <c r="K657" s="121" t="n"/>
      <c r="L657" s="121" t="n"/>
      <c r="M657" s="121" t="n"/>
    </row>
    <row r="658" ht="18.75" customHeight="1" s="215">
      <c r="A658" s="152" t="n"/>
      <c r="B658" s="149" t="n">
        <v>641</v>
      </c>
      <c r="C658" s="223" t="inlineStr">
        <is>
          <t>NFF-641 – DUEÑO (Modales de gestion de restaurante) - modo oscuro – Botón "Cerrar": Texto simple en blanco ubicado en la esquina inferior derecha del modal, fuera de los contenedores principales.</t>
        </is>
      </c>
      <c r="D658" s="218" t="n"/>
      <c r="E658" s="153" t="n"/>
      <c r="F658" s="55" t="inlineStr">
        <is>
          <t>x</t>
        </is>
      </c>
      <c r="G658" s="55" t="n"/>
      <c r="H658" s="55" t="n"/>
      <c r="I658" s="56" t="n"/>
      <c r="J658" s="121" t="n"/>
      <c r="K658" s="121" t="n"/>
      <c r="L658" s="121" t="n"/>
      <c r="M658" s="121" t="n"/>
    </row>
    <row r="659" ht="18.75" customHeight="1" s="215">
      <c r="A659" s="152" t="n"/>
      <c r="B659" s="149" t="n">
        <v>642</v>
      </c>
      <c r="C659" s="223" t="inlineStr">
        <is>
          <t>NFF-642 – DUEÑO (Modales de gestion de restaurante) - modo oscuro – Estructura del modal: Fondo gris carbón muy oscuro con bordes redondeados, sobre un overlay negro semi-transparente.</t>
        </is>
      </c>
      <c r="D659" s="218" t="n"/>
      <c r="E659" s="153" t="n"/>
      <c r="F659" s="55" t="inlineStr">
        <is>
          <t>x</t>
        </is>
      </c>
      <c r="G659" s="55" t="n"/>
      <c r="H659" s="55" t="n"/>
      <c r="I659" s="56" t="n"/>
      <c r="J659" s="121" t="n"/>
      <c r="K659" s="121" t="n"/>
      <c r="L659" s="121" t="n"/>
      <c r="M659" s="121" t="n"/>
    </row>
    <row r="660" ht="18.75" customHeight="1" s="215">
      <c r="A660" s="152" t="n"/>
      <c r="B660" s="149" t="n">
        <v>643</v>
      </c>
      <c r="C660" s="223" t="inlineStr">
        <is>
          <t>NFF-643 – DUEÑO (Modales de gestion de restaurante) - modo claro – Cabecera del modal: Título "Configuración: [Nombre]" en azul oscuro bold con un icono de cierre "x" en la esquina superior derecha.</t>
        </is>
      </c>
      <c r="D660" s="218" t="n"/>
      <c r="E660" s="153" t="n"/>
      <c r="F660" s="55" t="inlineStr">
        <is>
          <t>x</t>
        </is>
      </c>
      <c r="G660" s="55" t="n"/>
      <c r="H660" s="55" t="n"/>
      <c r="I660" s="56" t="n"/>
      <c r="J660" s="121" t="n"/>
      <c r="K660" s="121" t="n"/>
      <c r="L660" s="121" t="n"/>
      <c r="M660" s="121" t="n"/>
    </row>
    <row r="661" ht="18.75" customHeight="1" s="215">
      <c r="A661" s="152" t="n"/>
      <c r="B661" s="149" t="n">
        <v>644</v>
      </c>
      <c r="C661" s="223" t="inlineStr">
        <is>
          <t>NFF-644 – DUEÑO (Modales de gestion de restaurante) - modo claro – Estructura del modal: Fondo beige muy claro con bordes redondeados, posicionado sobre un overlay semi-transparente.</t>
        </is>
      </c>
      <c r="D661" s="218" t="n"/>
      <c r="E661" s="153" t="n"/>
      <c r="F661" s="55" t="inlineStr">
        <is>
          <t>x</t>
        </is>
      </c>
      <c r="G661" s="55" t="n"/>
      <c r="H661" s="55" t="n"/>
      <c r="I661" s="56" t="n"/>
      <c r="J661" s="121" t="n"/>
      <c r="K661" s="121" t="n"/>
      <c r="L661" s="121" t="n"/>
      <c r="M661" s="121" t="n"/>
    </row>
    <row r="662" ht="18.75" customHeight="1" s="215">
      <c r="A662" s="152" t="n"/>
      <c r="B662" s="149" t="n">
        <v>645</v>
      </c>
      <c r="C662" s="223" t="inlineStr">
        <is>
          <t>NFF-645 – DUEÑO (Modales de gestion de restaurante) - modo claro – Sistema de pestañas (Tabs): Contenedor con fondo blanco y borde gris fino; iconos y texto en gris oscuro para estados inactivos.</t>
        </is>
      </c>
      <c r="D662" s="218" t="n"/>
      <c r="E662" s="153" t="n"/>
      <c r="F662" s="55" t="inlineStr">
        <is>
          <t>x</t>
        </is>
      </c>
      <c r="G662" s="55" t="n"/>
      <c r="H662" s="55" t="n"/>
      <c r="I662" s="56" t="n"/>
      <c r="J662" s="121" t="n"/>
      <c r="K662" s="121" t="n"/>
      <c r="L662" s="121" t="n"/>
      <c r="M662" s="121" t="n"/>
    </row>
    <row r="663" ht="18.75" customHeight="1" s="215">
      <c r="A663" s="152" t="n"/>
      <c r="B663" s="149" t="n">
        <v>646</v>
      </c>
      <c r="C663" s="223" t="inlineStr">
        <is>
          <t>NFF-646 – DUEÑO (Modales de gestion de restaurante) - modo claro – Pestaña activa: Fondo verde suave con texto en verde oscuro y bordes redondeados de 8px.</t>
        </is>
      </c>
      <c r="D663" s="218" t="n"/>
      <c r="E663" s="153" t="n"/>
      <c r="F663" s="55" t="inlineStr">
        <is>
          <t>x</t>
        </is>
      </c>
      <c r="G663" s="55" t="n"/>
      <c r="H663" s="55" t="n"/>
      <c r="I663" s="56" t="n"/>
      <c r="J663" s="121" t="n"/>
      <c r="K663" s="121" t="n"/>
      <c r="L663" s="121" t="n"/>
      <c r="M663" s="121" t="n"/>
    </row>
    <row r="664" ht="18.75" customHeight="1" s="215">
      <c r="A664" s="152" t="n"/>
      <c r="B664" s="149" t="n">
        <v>647</v>
      </c>
      <c r="C664" s="223" t="inlineStr">
        <is>
          <t>NFF-647 – DUEÑO (Modales de gestion de restaurante) - modo claro – Etiquetas de campos (Labels): Texto en azul oscuro profundo con peso bold, ubicado directamente sobre los campos de entrada.</t>
        </is>
      </c>
      <c r="D664" s="218" t="n"/>
      <c r="E664" s="153" t="n"/>
      <c r="F664" s="55" t="inlineStr">
        <is>
          <t>x</t>
        </is>
      </c>
      <c r="G664" s="55" t="n"/>
      <c r="H664" s="55" t="n"/>
      <c r="I664" s="56" t="n"/>
      <c r="J664" s="121" t="n"/>
      <c r="K664" s="121" t="n"/>
      <c r="L664" s="121" t="n"/>
      <c r="M664" s="121" t="n"/>
    </row>
    <row r="665" ht="18.75" customHeight="1" s="215">
      <c r="A665" s="152" t="n"/>
      <c r="B665" s="149" t="n">
        <v>648</v>
      </c>
      <c r="C665" s="223" t="inlineStr">
        <is>
          <t>NFF-648 – DUEÑO (Modales de gestion de restaurante) - modo claro – Cajas de entrada (Inputs): Fondo blanco puro, borde gris claro y texto en negro; border-radius de 8px.</t>
        </is>
      </c>
      <c r="D665" s="218" t="n"/>
      <c r="E665" s="153" t="n"/>
      <c r="F665" s="55" t="inlineStr">
        <is>
          <t>x</t>
        </is>
      </c>
      <c r="G665" s="55" t="n"/>
      <c r="H665" s="55" t="n"/>
      <c r="I665" s="56" t="n"/>
      <c r="J665" s="121" t="n"/>
      <c r="K665" s="121" t="n"/>
      <c r="L665" s="121" t="n"/>
      <c r="M665" s="121" t="n"/>
    </row>
    <row r="666" ht="18.75" customHeight="1" s="215">
      <c r="A666" s="152" t="n"/>
      <c r="B666" s="149" t="n">
        <v>649</v>
      </c>
      <c r="C666" s="223" t="inlineStr">
        <is>
          <t>NFF-649 – DUEÑO (Modales de gestion de restaurante) - modo claro – Selectores de horario: Campos con icono de reloj tenue en el extremo derecho y formato de texto de 12 horas.</t>
        </is>
      </c>
      <c r="D666" s="218" t="n"/>
      <c r="E666" s="153" t="n"/>
      <c r="F666" s="55" t="inlineStr">
        <is>
          <t>x</t>
        </is>
      </c>
      <c r="G666" s="55" t="n"/>
      <c r="H666" s="55" t="n"/>
      <c r="I666" s="56" t="n"/>
      <c r="J666" s="121" t="n"/>
      <c r="K666" s="121" t="n"/>
      <c r="L666" s="121" t="n"/>
      <c r="M666" s="121" t="n"/>
    </row>
    <row r="667" ht="18.75" customHeight="1" s="215">
      <c r="A667" s="152" t="n"/>
      <c r="B667" s="149" t="n">
        <v>650</v>
      </c>
      <c r="C667" s="223" t="inlineStr">
        <is>
          <t>NFF-650 – DUEÑO (Modales de gestion de restaurante) - modo claro – Botón de acción principal ("Guardar datos", "Agregar empleado"): Fondo naranja vibrante, texto blanco bold y border-radius de 8px.</t>
        </is>
      </c>
      <c r="D667" s="218" t="n"/>
      <c r="E667" s="153" t="n"/>
      <c r="F667" s="55" t="inlineStr">
        <is>
          <t>x</t>
        </is>
      </c>
      <c r="G667" s="55" t="n"/>
      <c r="H667" s="55" t="n"/>
      <c r="I667" s="56" t="n"/>
      <c r="J667" s="121" t="n"/>
      <c r="K667" s="121" t="n"/>
      <c r="L667" s="121" t="n"/>
      <c r="M667" s="121" t="n"/>
    </row>
    <row r="668" ht="18.75" customHeight="1" s="215">
      <c r="A668" s="152" t="n"/>
      <c r="B668" s="149" t="n">
        <v>651</v>
      </c>
      <c r="C668" s="223" t="inlineStr">
        <is>
          <t>NFF-651 – DUEÑO (Modales de gestion de restaurante) - modo claro – Botón "Agregar mesa": Fondo naranja vibrante con icono "+" blanco a la izquierda del texto.</t>
        </is>
      </c>
      <c r="D668" s="218" t="n"/>
      <c r="E668" s="153" t="n"/>
      <c r="F668" s="55" t="inlineStr">
        <is>
          <t>x</t>
        </is>
      </c>
      <c r="G668" s="55" t="n"/>
      <c r="H668" s="55" t="n"/>
      <c r="I668" s="56" t="n"/>
      <c r="J668" s="121" t="n"/>
      <c r="K668" s="121" t="n"/>
      <c r="L668" s="121" t="n"/>
      <c r="M668" s="121" t="n"/>
    </row>
    <row r="669" ht="18.75" customHeight="1" s="215">
      <c r="A669" s="152" t="n"/>
      <c r="B669" s="149" t="n">
        <v>652</v>
      </c>
      <c r="C669" s="223" t="inlineStr">
        <is>
          <t>NFF-652 – DUEÑO (Modales de gestion de restaurante) - modo claro – Filas de listado (Mesas/Empleados): Contenedores con fondo blanco, borde gris tenue y esquinas redondeadas.</t>
        </is>
      </c>
      <c r="D669" s="218" t="n"/>
      <c r="E669" s="153" t="n"/>
      <c r="F669" s="55" t="inlineStr">
        <is>
          <t>x</t>
        </is>
      </c>
      <c r="G669" s="55" t="n"/>
      <c r="H669" s="55" t="n"/>
      <c r="I669" s="56" t="n"/>
      <c r="J669" s="121" t="n"/>
      <c r="K669" s="121" t="n"/>
      <c r="L669" s="121" t="n"/>
      <c r="M669" s="121" t="n"/>
    </row>
    <row r="670" ht="18.75" customHeight="1" s="215">
      <c r="A670" s="152" t="n"/>
      <c r="B670" s="149" t="n">
        <v>653</v>
      </c>
      <c r="C670" s="223" t="inlineStr">
        <is>
          <t>NFF-653 – DUEÑO (Modales de gestion de restaurante) - modo claro – Detalles de mesa en lista: Texto descriptivo en gris oscuro que incluye capacidad de personas, precio y estado actual.</t>
        </is>
      </c>
      <c r="D670" s="218" t="n"/>
      <c r="E670" s="153" t="n"/>
      <c r="F670" s="55" t="inlineStr">
        <is>
          <t>x</t>
        </is>
      </c>
      <c r="G670" s="55" t="n"/>
      <c r="H670" s="55" t="n"/>
      <c r="I670" s="56" t="n"/>
      <c r="J670" s="121" t="n"/>
      <c r="K670" s="121" t="n"/>
      <c r="L670" s="121" t="n"/>
      <c r="M670" s="121" t="n"/>
    </row>
    <row r="671" ht="18.75" customHeight="1" s="215">
      <c r="A671" s="152" t="n"/>
      <c r="B671" s="149" t="n">
        <v>654</v>
      </c>
      <c r="C671" s="223" t="inlineStr">
        <is>
          <t>NFF-654 – DUEÑO (Modales de gestion de restaurante) - modo claro – Iconos de gestión en filas: Lápiz gris para editar y papelera naranja/roja para eliminar, ubicados en el extremo derecho.</t>
        </is>
      </c>
      <c r="D671" s="218" t="n"/>
      <c r="E671" s="153" t="n"/>
      <c r="F671" s="55" t="inlineStr">
        <is>
          <t>x</t>
        </is>
      </c>
      <c r="G671" s="55" t="n"/>
      <c r="H671" s="55" t="n"/>
      <c r="I671" s="56" t="n"/>
      <c r="J671" s="121" t="n"/>
      <c r="K671" s="121" t="n"/>
      <c r="L671" s="121" t="n"/>
      <c r="M671" s="121" t="n"/>
    </row>
    <row r="672" ht="18.75" customHeight="1" s="215">
      <c r="A672" s="152" t="n"/>
      <c r="B672" s="149" t="n">
        <v>655</v>
      </c>
      <c r="C672" s="223" t="inlineStr">
        <is>
          <t>NFF-655 – DUEÑO (Modales de gestion de restaurante) - modo claro – Selector de administrador: Menú desplegable con fondo blanco, borde gris y flecha indicadora hacia abajo.</t>
        </is>
      </c>
      <c r="D672" s="218" t="n"/>
      <c r="E672" s="153" t="n"/>
      <c r="F672" s="55" t="inlineStr">
        <is>
          <t>x</t>
        </is>
      </c>
      <c r="G672" s="55" t="n"/>
      <c r="H672" s="55" t="n"/>
      <c r="I672" s="56" t="n"/>
      <c r="J672" s="121" t="n"/>
      <c r="K672" s="121" t="n"/>
      <c r="L672" s="121" t="n"/>
      <c r="M672" s="121" t="n"/>
    </row>
    <row r="673" ht="18.75" customHeight="1" s="215">
      <c r="A673" s="152" t="n"/>
      <c r="B673" s="149" t="n">
        <v>656</v>
      </c>
      <c r="C673" s="223" t="inlineStr">
        <is>
          <t>NFF-656 – DUEÑO (Modales de gestion de restaurante) - modo claro – Botón "Eliminar empleado": Fondo blanco con borde y texto en naranja suave; incluye icono de usuario con signo de resta.</t>
        </is>
      </c>
      <c r="D673" s="218" t="n"/>
      <c r="E673" s="153" t="n"/>
      <c r="F673" s="55" t="inlineStr">
        <is>
          <t>x</t>
        </is>
      </c>
      <c r="G673" s="55" t="n"/>
      <c r="H673" s="55" t="n"/>
      <c r="I673" s="56" t="n"/>
      <c r="J673" s="121" t="n"/>
      <c r="K673" s="121" t="n"/>
      <c r="L673" s="121" t="n"/>
      <c r="M673" s="121" t="n"/>
    </row>
    <row r="674" ht="18.75" customHeight="1" s="215">
      <c r="A674" s="152" t="n"/>
      <c r="B674" s="149" t="n">
        <v>657</v>
      </c>
      <c r="C674" s="223" t="inlineStr">
        <is>
          <t>NFF-657 – DUEÑO (Modales de gestion de restaurante) - modo claro – Enlace "Cerrar": Texto simple en gris oscuro/negro ubicado en la esquina inferior derecha del modal.</t>
        </is>
      </c>
      <c r="D674" s="218" t="n"/>
      <c r="E674" s="153" t="n"/>
      <c r="F674" s="55" t="inlineStr">
        <is>
          <t>x</t>
        </is>
      </c>
      <c r="G674" s="55" t="n"/>
      <c r="H674" s="55" t="n"/>
      <c r="I674" s="56" t="n"/>
      <c r="J674" s="121" t="n"/>
      <c r="K674" s="121" t="n"/>
      <c r="L674" s="121" t="n"/>
      <c r="M674" s="121" t="n"/>
    </row>
    <row r="675" ht="18.75" customHeight="1" s="215">
      <c r="A675" s="152" t="n"/>
      <c r="B675" s="149" t="n">
        <v>658</v>
      </c>
      <c r="C675" s="223" t="inlineStr">
        <is>
          <t>NFF-658 – DUEÑO (Modal Agregar Restaurante) - modo claro – Cabecera del modal: Título "Agregar restaurante" en azul oscuro bold con un icono de cierre "x" en la esquina superior derecha.</t>
        </is>
      </c>
      <c r="D675" s="218" t="n"/>
      <c r="E675" s="153" t="n"/>
      <c r="F675" s="55" t="inlineStr">
        <is>
          <t>x</t>
        </is>
      </c>
      <c r="G675" s="55" t="n"/>
      <c r="H675" s="55" t="n"/>
      <c r="I675" s="56" t="n"/>
      <c r="J675" s="121" t="n"/>
      <c r="K675" s="121" t="n"/>
      <c r="L675" s="121" t="n"/>
      <c r="M675" s="121" t="n"/>
    </row>
    <row r="676" ht="18.75" customHeight="1" s="215">
      <c r="A676" s="152" t="n"/>
      <c r="B676" s="149" t="n">
        <v>659</v>
      </c>
      <c r="C676" s="223" t="inlineStr">
        <is>
          <t>NFF-659 – DUEÑO (Modal Agregar Restaurante) - modo claro – Subtítulo instructivo: Texto "Completa todos los campos. Todos son obligatorios." en gris medio debajo del título principal.</t>
        </is>
      </c>
      <c r="D676" s="218" t="n"/>
      <c r="E676" s="153" t="n"/>
      <c r="F676" s="55" t="inlineStr">
        <is>
          <t>x</t>
        </is>
      </c>
      <c r="G676" s="55" t="n"/>
      <c r="H676" s="55" t="n"/>
      <c r="I676" s="56" t="n"/>
      <c r="J676" s="121" t="n"/>
      <c r="K676" s="121" t="n"/>
      <c r="L676" s="121" t="n"/>
      <c r="M676" s="121" t="n"/>
    </row>
    <row r="677" ht="18.75" customHeight="1" s="215">
      <c r="A677" s="152" t="n"/>
      <c r="B677" s="149" t="n">
        <v>660</v>
      </c>
      <c r="C677" s="223" t="inlineStr">
        <is>
          <t>NFF-660 – DUEÑO (Modal Agregar Restaurante) - modo claro – Campos de identificación (NIT y D.V.): Etiquetas en azul oscuro; campo NIT con borde naranja resaltado y placeholder descriptivo.</t>
        </is>
      </c>
      <c r="D677" s="218" t="n"/>
      <c r="E677" s="153" t="n"/>
      <c r="F677" s="55" t="inlineStr">
        <is>
          <t>x</t>
        </is>
      </c>
      <c r="G677" s="55" t="n"/>
      <c r="H677" s="55" t="n"/>
      <c r="I677" s="56" t="n"/>
      <c r="J677" s="121" t="n"/>
      <c r="K677" s="121" t="n"/>
      <c r="L677" s="121" t="n"/>
      <c r="M677" s="121" t="n"/>
    </row>
    <row r="678" ht="18.75" customHeight="1" s="215">
      <c r="A678" s="152" t="n"/>
      <c r="B678" s="149" t="n">
        <v>661</v>
      </c>
      <c r="C678" s="223" t="inlineStr">
        <is>
          <t>NFF-661 – DUEÑO (Modal Agregar Restaurante) - modo claro – Texto de ayuda de formato: "Formato Colombia: 800.000.000 – 9..." en gris, tamaño de fuente pequeño bajo los campos de NIT.</t>
        </is>
      </c>
      <c r="D678" s="218" t="n"/>
      <c r="E678" s="153" t="n"/>
      <c r="F678" s="55" t="inlineStr">
        <is>
          <t>x</t>
        </is>
      </c>
      <c r="G678" s="55" t="n"/>
      <c r="H678" s="55" t="n"/>
      <c r="I678" s="56" t="n"/>
      <c r="J678" s="121" t="n"/>
      <c r="K678" s="121" t="n"/>
      <c r="L678" s="121" t="n"/>
      <c r="M678" s="121" t="n"/>
    </row>
    <row r="679" ht="18.75" customHeight="1" s="215">
      <c r="A679" s="152" t="n"/>
      <c r="B679" s="149" t="n">
        <v>662</v>
      </c>
      <c r="C679" s="223" t="inlineStr">
        <is>
          <t>NFF-662 – DUEÑO (Modal Agregar Restaurante) - modo claro – Nombre y Descripción: Inputs con fondo blanco puro, borde gris claro y placeholders en gris suave; el campo descripción es multilínea.</t>
        </is>
      </c>
      <c r="D679" s="218" t="n"/>
      <c r="E679" s="153" t="n"/>
      <c r="F679" s="55" t="inlineStr">
        <is>
          <t>x</t>
        </is>
      </c>
      <c r="G679" s="55" t="n"/>
      <c r="H679" s="55" t="n"/>
      <c r="I679" s="56" t="n"/>
      <c r="J679" s="121" t="n"/>
      <c r="K679" s="121" t="n"/>
      <c r="L679" s="121" t="n"/>
      <c r="M679" s="121" t="n"/>
    </row>
    <row r="680" ht="18.75" customHeight="1" s="215">
      <c r="A680" s="152" t="n"/>
      <c r="B680" s="149" t="n">
        <v>663</v>
      </c>
      <c r="C680" s="223" t="inlineStr">
        <is>
          <t>NFF-663 – DUEÑO (Modal Agregar Restaurante) - modo claro – Campo de Dirección: Input con icono de pin de mapa en el extremo derecho y texto de ayuda inferior indicando el uso del mapa.</t>
        </is>
      </c>
      <c r="D680" s="218" t="n"/>
      <c r="E680" s="153" t="n"/>
      <c r="F680" s="55" t="inlineStr">
        <is>
          <t>x</t>
        </is>
      </c>
      <c r="G680" s="55" t="n"/>
      <c r="H680" s="55" t="n"/>
      <c r="I680" s="56" t="n"/>
      <c r="J680" s="121" t="n"/>
      <c r="K680" s="121" t="n"/>
      <c r="L680" s="121" t="n"/>
      <c r="M680" s="121" t="n"/>
    </row>
    <row r="681" ht="18.75" customHeight="1" s="215">
      <c r="A681" s="152" t="n"/>
      <c r="B681" s="149" t="n">
        <v>664</v>
      </c>
      <c r="C681" s="223" t="inlineStr">
        <is>
          <t>NFF-664 – DUEÑO (Modal Agregar Restaurante) - modo claro – Selectores de horario: Campos para "Hora de apertura" y "Hora de cierre" con iconos de reloj tenues y formato de hora vacío.</t>
        </is>
      </c>
      <c r="D681" s="218" t="n"/>
      <c r="E681" s="153" t="n"/>
      <c r="F681" s="55" t="inlineStr">
        <is>
          <t>x</t>
        </is>
      </c>
      <c r="G681" s="55" t="n"/>
      <c r="H681" s="55" t="n"/>
      <c r="I681" s="56" t="n"/>
      <c r="J681" s="121" t="n"/>
      <c r="K681" s="121" t="n"/>
      <c r="L681" s="121" t="n"/>
      <c r="M681" s="121" t="n"/>
    </row>
    <row r="682" ht="18.75" customHeight="1" s="215">
      <c r="A682" s="152" t="n"/>
      <c r="B682" s="149" t="n">
        <v>665</v>
      </c>
      <c r="C682" s="223" t="inlineStr">
        <is>
          <t>NFF-665 – DUEÑO (Modal Agregar Restaurante) - modo claro – Selector de Categoría: Menú desplegable (Dropdown) con flecha hacia abajo y placeholder "Selecciona una categoría".</t>
        </is>
      </c>
      <c r="D682" s="218" t="n"/>
      <c r="E682" s="153" t="n"/>
      <c r="F682" s="55" t="inlineStr">
        <is>
          <t>x</t>
        </is>
      </c>
      <c r="G682" s="55" t="n"/>
      <c r="H682" s="55" t="n"/>
      <c r="I682" s="56" t="n"/>
      <c r="J682" s="121" t="n"/>
      <c r="K682" s="121" t="n"/>
      <c r="L682" s="121" t="n"/>
      <c r="M682" s="121" t="n"/>
    </row>
    <row r="683" ht="18.75" customHeight="1" s="215">
      <c r="A683" s="152" t="n"/>
      <c r="B683" s="149" t="n">
        <v>666</v>
      </c>
      <c r="C683" s="223" t="inlineStr">
        <is>
          <t>NFF-666 – DUEÑO (Modal Agregar Restaurante) - modo claro – Gestión de Imagen Principal: Botón con icono de imagen y texto "Subir imagen principal" sobre fondo gris muy claro.</t>
        </is>
      </c>
      <c r="D683" s="218" t="n"/>
      <c r="E683" s="153" t="n"/>
      <c r="F683" s="55" t="inlineStr">
        <is>
          <t>x</t>
        </is>
      </c>
      <c r="G683" s="55" t="n"/>
      <c r="H683" s="55" t="n"/>
      <c r="I683" s="56" t="n"/>
      <c r="J683" s="121" t="n"/>
      <c r="K683" s="121" t="n"/>
      <c r="L683" s="121" t="n"/>
      <c r="M683" s="121" t="n"/>
    </row>
    <row r="684" ht="18.75" customHeight="1" s="215">
      <c r="A684" s="152" t="n"/>
      <c r="B684" s="149" t="n">
        <v>667</v>
      </c>
      <c r="C684" s="223" t="inlineStr">
        <is>
          <t>NFF-667 – DUEÑO (Modal Agregar Restaurante) - modo claro – Imágenes de referencia: Bloque con botones para "Agregar imagen (0/15)" y "Ver imágenes (0)" con aviso de guardado temporal inferior.</t>
        </is>
      </c>
      <c r="D684" s="218" t="n"/>
      <c r="E684" s="153" t="n"/>
      <c r="F684" s="55" t="inlineStr">
        <is>
          <t>x</t>
        </is>
      </c>
      <c r="G684" s="55" t="n"/>
      <c r="H684" s="55" t="n"/>
      <c r="I684" s="56" t="n"/>
      <c r="J684" s="121" t="n"/>
      <c r="K684" s="121" t="n"/>
      <c r="L684" s="121" t="n"/>
      <c r="M684" s="121" t="n"/>
    </row>
    <row r="685" ht="18.75" customHeight="1" s="215">
      <c r="A685" s="152" t="n"/>
      <c r="B685" s="149" t="n">
        <v>668</v>
      </c>
      <c r="C685" s="223" t="inlineStr">
        <is>
          <t>NFF-668 – DUEÑO (Modal Agregar Restaurante) - modo claro – Botón "Cancelar": Fondo gris muy claro/blanco, texto en gris oscuro y border-radius de 8px.</t>
        </is>
      </c>
      <c r="D685" s="218" t="n"/>
      <c r="E685" s="153" t="n"/>
      <c r="F685" s="55" t="inlineStr">
        <is>
          <t>x</t>
        </is>
      </c>
      <c r="G685" s="55" t="n"/>
      <c r="H685" s="55" t="n"/>
      <c r="I685" s="56" t="n"/>
      <c r="J685" s="121" t="n"/>
      <c r="K685" s="121" t="n"/>
      <c r="L685" s="121" t="n"/>
      <c r="M685" s="121" t="n"/>
    </row>
    <row r="686" ht="18.75" customHeight="1" s="215">
      <c r="A686" s="152" t="n"/>
      <c r="B686" s="149" t="n">
        <v>669</v>
      </c>
      <c r="C686" s="223" t="inlineStr">
        <is>
          <t>NFF-669 – DUEÑO (Modal Agregar Restaurante) - modo claro – Botón "Crear restaurante": Fondo naranja vibrante, texto blanco bold y border-radius de 8px.</t>
        </is>
      </c>
      <c r="D686" s="218" t="n"/>
      <c r="E686" s="153" t="n"/>
      <c r="F686" s="55" t="inlineStr">
        <is>
          <t>x</t>
        </is>
      </c>
      <c r="G686" s="55" t="n"/>
      <c r="H686" s="55" t="n"/>
      <c r="I686" s="56" t="n"/>
      <c r="J686" s="121" t="n"/>
      <c r="K686" s="121" t="n"/>
      <c r="L686" s="121" t="n"/>
      <c r="M686" s="121" t="n"/>
    </row>
    <row r="687" ht="18.75" customHeight="1" s="215">
      <c r="A687" s="152" t="n"/>
      <c r="B687" s="149" t="n">
        <v>670</v>
      </c>
      <c r="C687" s="223" t="inlineStr">
        <is>
          <t>NFF-670 – DUEÑO (Modal Agregar Restaurante) - modo claro – Estructura general: Fondo beige muy claro, bordes redondeados y sombra perimetral sutil sobre el overlay.</t>
        </is>
      </c>
      <c r="D687" s="218" t="n"/>
      <c r="E687" s="153" t="n"/>
      <c r="F687" s="55" t="inlineStr">
        <is>
          <t>x</t>
        </is>
      </c>
      <c r="G687" s="55" t="n"/>
      <c r="H687" s="55" t="n"/>
      <c r="I687" s="56" t="n"/>
      <c r="J687" s="121" t="n"/>
      <c r="K687" s="121" t="n"/>
      <c r="L687" s="121" t="n"/>
      <c r="M687" s="121" t="n"/>
    </row>
    <row r="688" ht="18.75" customHeight="1" s="215">
      <c r="A688" s="152" t="n"/>
      <c r="B688" s="149" t="n">
        <v>671</v>
      </c>
      <c r="C688" s="223" t="inlineStr">
        <is>
          <t>NFF-671 – DUEÑO (Modal Agregar Restaurante) - modo oscuro – Cabecera del modal: Título "Agregar restaurante" en blanco puro con peso bold y un icono de cierre "x" en la esquina superior derecha.</t>
        </is>
      </c>
      <c r="D688" s="218" t="n"/>
      <c r="E688" s="153" t="n"/>
      <c r="F688" s="55" t="inlineStr">
        <is>
          <t>x</t>
        </is>
      </c>
      <c r="G688" s="55" t="n"/>
      <c r="H688" s="55" t="n"/>
      <c r="I688" s="56" t="n"/>
      <c r="J688" s="121" t="n"/>
      <c r="K688" s="121" t="n"/>
      <c r="L688" s="121" t="n"/>
      <c r="M688" s="121" t="n"/>
    </row>
    <row r="689" ht="18.75" customHeight="1" s="215">
      <c r="A689" s="152" t="n"/>
      <c r="B689" s="149" t="n">
        <v>672</v>
      </c>
      <c r="C689" s="223" t="inlineStr">
        <is>
          <t>NFF-672 – DUEÑO (Modal Agregar Restaurante) - modo oscuro – Subtítulo instructivo: Texto "Completa todos los campos. Todos son obligatorios." en gris medio, ubicado bajo el título principal.</t>
        </is>
      </c>
      <c r="D689" s="218" t="n"/>
      <c r="E689" s="153" t="n"/>
      <c r="F689" s="55" t="inlineStr">
        <is>
          <t>x</t>
        </is>
      </c>
      <c r="G689" s="55" t="n"/>
      <c r="H689" s="55" t="n"/>
      <c r="I689" s="56" t="n"/>
      <c r="J689" s="121" t="n"/>
      <c r="K689" s="121" t="n"/>
      <c r="L689" s="121" t="n"/>
      <c r="M689" s="121" t="n"/>
    </row>
    <row r="690" ht="18.75" customHeight="1" s="215">
      <c r="A690" s="152" t="n"/>
      <c r="B690" s="149" t="n">
        <v>673</v>
      </c>
      <c r="C690" s="223" t="inlineStr">
        <is>
          <t>NFF-673 – DUEÑO (Modal Agregar Restaurante) - modo oscuro – Campos de identificación (NIT y D.V.): Etiquetas en blanco; inputs con fondo negro sólido, borde gris oscuro y placeholders descriptivos.</t>
        </is>
      </c>
      <c r="D690" s="218" t="n"/>
      <c r="E690" s="153" t="n"/>
      <c r="F690" s="55" t="inlineStr">
        <is>
          <t>x</t>
        </is>
      </c>
      <c r="G690" s="55" t="n"/>
      <c r="H690" s="55" t="n"/>
      <c r="I690" s="56" t="n"/>
      <c r="J690" s="121" t="n"/>
      <c r="K690" s="121" t="n"/>
      <c r="L690" s="121" t="n"/>
      <c r="M690" s="121" t="n"/>
    </row>
    <row r="691" ht="18.75" customHeight="1" s="215">
      <c r="A691" s="152" t="n"/>
      <c r="B691" s="149" t="n">
        <v>674</v>
      </c>
      <c r="C691" s="223" t="inlineStr">
        <is>
          <t>NFF-674 – DUEÑO (Modal Agregar Restaurante) - modo oscuro – Texto de ayuda de formato: "Formato Colombia: 800.000.000 – 9..." en gris claro, tamaño de fuente pequeño bajo los campos de NIT.</t>
        </is>
      </c>
      <c r="D691" s="218" t="n"/>
      <c r="E691" s="153" t="n"/>
      <c r="F691" s="55" t="inlineStr">
        <is>
          <t>x</t>
        </is>
      </c>
      <c r="G691" s="55" t="n"/>
      <c r="H691" s="55" t="n"/>
      <c r="I691" s="56" t="n"/>
      <c r="J691" s="121" t="n"/>
      <c r="K691" s="121" t="n"/>
      <c r="L691" s="121" t="n"/>
      <c r="M691" s="121" t="n"/>
    </row>
    <row r="692" ht="18.75" customHeight="1" s="215">
      <c r="A692" s="152" t="n"/>
      <c r="B692" s="149" t="n">
        <v>675</v>
      </c>
      <c r="C692" s="223" t="inlineStr">
        <is>
          <t>NFF-675 – DUEÑO (Modal Agregar Restaurante) - modo oscuro – Nombre y Descripción: Inputs con fondo negro sólido, borde gris oscuro y placeholders en gris; el campo descripción es un área de texto multilínea.</t>
        </is>
      </c>
      <c r="D692" s="218" t="n"/>
      <c r="E692" s="153" t="n"/>
      <c r="F692" s="55" t="inlineStr">
        <is>
          <t>x</t>
        </is>
      </c>
      <c r="G692" s="55" t="n"/>
      <c r="H692" s="55" t="n"/>
      <c r="I692" s="56" t="n"/>
      <c r="J692" s="121" t="n"/>
      <c r="K692" s="121" t="n"/>
      <c r="L692" s="121" t="n"/>
      <c r="M692" s="121" t="n"/>
    </row>
    <row r="693" ht="18.75" customHeight="1" s="215">
      <c r="A693" s="152" t="n"/>
      <c r="B693" s="149" t="n">
        <v>676</v>
      </c>
      <c r="C693" s="223" t="inlineStr">
        <is>
          <t>NFF-676 – DUEÑO (Modal Agregar Restaurante) - modo oscuro – Campo de Dirección: Input con icono de pin de mapa en el extremo derecho y texto instructivo inferior en gris sobre el uso del mapa.</t>
        </is>
      </c>
      <c r="D693" s="218" t="n"/>
      <c r="E693" s="153" t="n"/>
      <c r="F693" s="55" t="inlineStr">
        <is>
          <t>x</t>
        </is>
      </c>
      <c r="G693" s="55" t="n"/>
      <c r="H693" s="55" t="n"/>
      <c r="I693" s="56" t="n"/>
      <c r="J693" s="121" t="n"/>
      <c r="K693" s="121" t="n"/>
      <c r="L693" s="121" t="n"/>
      <c r="M693" s="121" t="n"/>
    </row>
    <row r="694" ht="18.75" customHeight="1" s="215">
      <c r="A694" s="152" t="n"/>
      <c r="B694" s="149" t="n">
        <v>677</v>
      </c>
      <c r="C694" s="223" t="inlineStr">
        <is>
          <t>NFF-677 – DUEÑO (Modal Agregar Restaurante) - modo oscuro – Selectores de horario: Campos para "Hora de apertura" y "Hora de cierre" con iconos de reloj y formato de texto de hora vacío.</t>
        </is>
      </c>
      <c r="D694" s="218" t="n"/>
      <c r="E694" s="153" t="n"/>
      <c r="F694" s="55" t="inlineStr">
        <is>
          <t>x</t>
        </is>
      </c>
      <c r="G694" s="55" t="n"/>
      <c r="H694" s="55" t="n"/>
      <c r="I694" s="56" t="n"/>
      <c r="J694" s="121" t="n"/>
      <c r="K694" s="121" t="n"/>
      <c r="L694" s="121" t="n"/>
      <c r="M694" s="121" t="n"/>
    </row>
    <row r="695" ht="18.75" customHeight="1" s="215">
      <c r="A695" s="152" t="n"/>
      <c r="B695" s="149" t="n">
        <v>678</v>
      </c>
      <c r="C695" s="223" t="inlineStr">
        <is>
          <t>NFF-678 – DUEÑO (Modal Agregar Restaurante) - modo oscuro – Selector de Categoría: Menú desplegable (Dropdown) con fondo negro, flecha hacia abajo y placeholder "Selecciona una categoría".</t>
        </is>
      </c>
      <c r="D695" s="218" t="n"/>
      <c r="E695" s="153" t="n"/>
      <c r="F695" s="55" t="inlineStr">
        <is>
          <t>x</t>
        </is>
      </c>
      <c r="G695" s="55" t="n"/>
      <c r="H695" s="55" t="n"/>
      <c r="I695" s="56" t="n"/>
      <c r="J695" s="121" t="n"/>
      <c r="K695" s="121" t="n"/>
      <c r="L695" s="121" t="n"/>
      <c r="M695" s="121" t="n"/>
    </row>
    <row r="696" ht="18.75" customHeight="1" s="215">
      <c r="A696" s="152" t="n"/>
      <c r="B696" s="149" t="n">
        <v>679</v>
      </c>
      <c r="C696" s="223" t="inlineStr">
        <is>
          <t>NFF-679 – DUEÑO (Modal Agregar Restaurante) - modo oscuro – Gestión de Imagen Principal: Botón con icono de imagen y texto "Subir imagen principal" sobre un fondo gris muy oscuro.</t>
        </is>
      </c>
      <c r="D696" s="218" t="n"/>
      <c r="E696" s="153" t="n"/>
      <c r="F696" s="55" t="inlineStr">
        <is>
          <t>x</t>
        </is>
      </c>
      <c r="G696" s="55" t="n"/>
      <c r="H696" s="55" t="n"/>
      <c r="I696" s="56" t="n"/>
      <c r="J696" s="121" t="n"/>
      <c r="K696" s="121" t="n"/>
      <c r="L696" s="121" t="n"/>
      <c r="M696" s="121" t="n"/>
    </row>
    <row r="697" ht="18.75" customHeight="1" s="215">
      <c r="A697" s="152" t="n"/>
      <c r="B697" s="149" t="n">
        <v>680</v>
      </c>
      <c r="C697" s="223" t="inlineStr">
        <is>
          <t>NFF-680 – DUEÑO (Modal Agregar Restaurante) - modo oscuro – Imágenes de referencia: Bloque con botones "Agregar imagen (0/15)" y "Ver imágenes (0)" con aviso de guardado temporal en gris.</t>
        </is>
      </c>
      <c r="D697" s="218" t="n"/>
      <c r="E697" s="153" t="n"/>
      <c r="F697" s="55" t="inlineStr">
        <is>
          <t>x</t>
        </is>
      </c>
      <c r="G697" s="55" t="n"/>
      <c r="H697" s="55" t="n"/>
      <c r="I697" s="56" t="n"/>
      <c r="J697" s="121" t="n"/>
      <c r="K697" s="121" t="n"/>
      <c r="L697" s="121" t="n"/>
      <c r="M697" s="121" t="n"/>
    </row>
    <row r="698" ht="18.75" customHeight="1" s="215">
      <c r="A698" s="152" t="n"/>
      <c r="B698" s="149" t="n">
        <v>681</v>
      </c>
      <c r="C698" s="223" t="inlineStr">
        <is>
          <t>NFF-681 – DUEÑO (Modal Agregar Restaurante) - modo oscuro – Botón "Cancelar": Texto simple en blanco con peso semi-bold, ubicado al lado del botón de acción principal.</t>
        </is>
      </c>
      <c r="D698" s="218" t="n"/>
      <c r="E698" s="153" t="n"/>
      <c r="F698" s="55" t="inlineStr">
        <is>
          <t>x</t>
        </is>
      </c>
      <c r="G698" s="55" t="n"/>
      <c r="H698" s="55" t="n"/>
      <c r="I698" s="56" t="n"/>
      <c r="J698" s="121" t="n"/>
      <c r="K698" s="121" t="n"/>
      <c r="L698" s="121" t="n"/>
      <c r="M698" s="121" t="n"/>
    </row>
    <row r="699" ht="18.75" customHeight="1" s="215">
      <c r="A699" s="152" t="n"/>
      <c r="B699" s="149" t="n">
        <v>682</v>
      </c>
      <c r="C699" s="223" t="inlineStr">
        <is>
          <t>NFF-682 – DUEÑO (Modal Agregar Restaurante) - modo oscuro – Botón "Crear restaurante": Fondo rojo intenso (#991b1b), texto blanco bold y border-radius de 8px.</t>
        </is>
      </c>
      <c r="D699" s="218" t="n"/>
      <c r="E699" s="153" t="n"/>
      <c r="F699" s="55" t="inlineStr">
        <is>
          <t>x</t>
        </is>
      </c>
      <c r="G699" s="55" t="n"/>
      <c r="H699" s="55" t="n"/>
      <c r="I699" s="56" t="n"/>
      <c r="J699" s="121" t="n"/>
      <c r="K699" s="121" t="n"/>
      <c r="L699" s="121" t="n"/>
      <c r="M699" s="121" t="n"/>
    </row>
    <row r="700" ht="18.75" customHeight="1" s="215">
      <c r="A700" s="152" t="n"/>
      <c r="B700" s="149" t="n">
        <v>683</v>
      </c>
      <c r="C700" s="223" t="inlineStr">
        <is>
          <t>NFF-683 – DUEÑO (Modal Agregar Restaurante) - modo oscuro – Estructura general: Fondo gris carbón muy oscuro con bordes redondeados, sobre un overlay negro semi-transparente.</t>
        </is>
      </c>
      <c r="D700" s="218" t="n"/>
      <c r="E700" s="153" t="n"/>
      <c r="F700" s="55" t="inlineStr">
        <is>
          <t>x</t>
        </is>
      </c>
      <c r="G700" s="55" t="n"/>
      <c r="H700" s="55" t="n"/>
      <c r="I700" s="56" t="n"/>
      <c r="J700" s="121" t="n"/>
      <c r="K700" s="121" t="n"/>
      <c r="L700" s="121" t="n"/>
      <c r="M700" s="121" t="n"/>
    </row>
    <row r="701" ht="18.75" customHeight="1" s="215">
      <c r="A701" s="152" t="n"/>
      <c r="B701" s="149" t="n">
        <v>684</v>
      </c>
      <c r="C701" s="223" t="inlineStr">
        <is>
          <t>NFF-684 – Cliente (Home Page Principal) - modo oscuro – Barra de navegación (Navbar): Fondo negro sólido con logo "Reservify" a la izquierda; enlaces a "Restaurantes", selector de modo oscuro (icono luna) y botón de perfil a la derecha.</t>
        </is>
      </c>
      <c r="D701" s="218" t="n"/>
      <c r="E701" s="153" t="n"/>
      <c r="F701" s="55" t="inlineStr">
        <is>
          <t>x</t>
        </is>
      </c>
      <c r="G701" s="55" t="n"/>
      <c r="H701" s="55" t="n"/>
      <c r="I701" s="56" t="n"/>
      <c r="J701" s="121" t="n"/>
      <c r="K701" s="121" t="n"/>
      <c r="L701" s="121" t="n"/>
      <c r="M701" s="121" t="n"/>
    </row>
    <row r="702" ht="18.75" customHeight="1" s="215">
      <c r="A702" s="152" t="n"/>
      <c r="B702" s="149" t="n">
        <v>685</v>
      </c>
      <c r="C702" s="223" t="inlineStr">
        <is>
          <t>NFF-685 – Cliente (Home Page Principal) - modo oscuro – Sección Hero - Título principal: Texto "¿Reserva en tu restaurante favorito?" con degradado de naranja a amarillo y peso extra-bold.</t>
        </is>
      </c>
      <c r="D702" s="218" t="n"/>
      <c r="E702" s="153" t="n"/>
      <c r="F702" s="55" t="n"/>
      <c r="G702" s="55" t="inlineStr">
        <is>
          <t>x</t>
        </is>
      </c>
      <c r="H702" s="55" t="n"/>
      <c r="I702" s="56" t="n"/>
      <c r="J702" s="121" t="n"/>
      <c r="K702" s="121" t="n"/>
      <c r="L702" s="121" t="n"/>
      <c r="M702" s="121" t="n"/>
    </row>
    <row r="703" ht="18.75" customHeight="1" s="215">
      <c r="A703" s="152" t="n"/>
      <c r="B703" s="149" t="n">
        <v>686</v>
      </c>
      <c r="C703" s="223" t="inlineStr">
        <is>
          <t>NFF-686 – Cliente (Home Page Principal) - modo oscuro – Sección Hero - Subtítulo: Texto en gris claro centrado que describe la variedad gastronómica de la plataforma.</t>
        </is>
      </c>
      <c r="D703" s="218" t="n"/>
      <c r="E703" s="153" t="n"/>
      <c r="F703" s="55" t="inlineStr">
        <is>
          <t>x</t>
        </is>
      </c>
      <c r="G703" s="55" t="n"/>
      <c r="H703" s="55" t="n"/>
      <c r="I703" s="56" t="n"/>
      <c r="J703" s="121" t="n"/>
      <c r="K703" s="121" t="n"/>
      <c r="L703" s="121" t="n"/>
      <c r="M703" s="121" t="n"/>
    </row>
    <row r="704" ht="18.75" customHeight="1" s="215">
      <c r="A704" s="152" t="n"/>
      <c r="B704" s="149" t="n">
        <v>687</v>
      </c>
      <c r="C704" s="223" t="inlineStr">
        <is>
          <t>NFF-687 – Cliente (Home Page Principal) - modo oscuro – Barra de búsqueda: Contenedor oscuro con borde rojo sutil, placeholder "¿Qué tipo de cocina te apetece hoy?" y botón "Buscar" en color café/dorado.</t>
        </is>
      </c>
      <c r="D704" s="218" t="n"/>
      <c r="E704" s="153" t="n"/>
      <c r="F704" s="55" t="inlineStr">
        <is>
          <t>x</t>
        </is>
      </c>
      <c r="G704" s="55" t="n"/>
      <c r="H704" s="55" t="n"/>
      <c r="I704" s="56" t="n"/>
      <c r="J704" s="121" t="n"/>
      <c r="K704" s="121" t="n"/>
      <c r="L704" s="121" t="n"/>
      <c r="M704" s="121" t="n"/>
    </row>
    <row r="705" ht="18.75" customHeight="1" s="215">
      <c r="A705" s="152" t="n"/>
      <c r="B705" s="149" t="n">
        <v>688</v>
      </c>
      <c r="C705" s="223" t="inlineStr">
        <is>
          <t>NFF-688 – Cliente (Home Page Principal) - modo oscuro – Etiquetas de categorías rápidas: Botones rectangulares con fondo azul oscuro y texto en azul claro (Italiana, Japonesa, Mexicana, Mediterránea).</t>
        </is>
      </c>
      <c r="D705" s="218" t="n"/>
      <c r="E705" s="153" t="n"/>
      <c r="F705" s="55" t="inlineStr">
        <is>
          <t>x</t>
        </is>
      </c>
      <c r="G705" s="55" t="n"/>
      <c r="H705" s="55" t="n"/>
      <c r="I705" s="56" t="n"/>
      <c r="J705" s="121" t="n"/>
      <c r="K705" s="121" t="n"/>
      <c r="L705" s="121" t="n"/>
      <c r="M705" s="121" t="n"/>
    </row>
    <row r="706" ht="18.75" customHeight="1" s="215">
      <c r="A706" s="152" t="n"/>
      <c r="B706" s="149" t="n">
        <v>689</v>
      </c>
      <c r="C706" s="223" t="inlineStr">
        <is>
          <t>NFF-689 – Cliente (Home Page Principal) - modo oscuro – Botón de ubicación: Texto "Usar mi ubicación actual" acompañado de un icono de pin de mapa en color gris claro.</t>
        </is>
      </c>
      <c r="D706" s="218" t="n"/>
      <c r="E706" s="153" t="n"/>
      <c r="F706" s="55" t="inlineStr">
        <is>
          <t>x</t>
        </is>
      </c>
      <c r="G706" s="55" t="n"/>
      <c r="H706" s="55" t="n"/>
      <c r="I706" s="56" t="n"/>
      <c r="J706" s="121" t="n"/>
      <c r="K706" s="121" t="n"/>
      <c r="L706" s="121" t="n"/>
      <c r="M706" s="121" t="n"/>
    </row>
    <row r="707" ht="18.75" customHeight="1" s="215">
      <c r="A707" s="152" t="n"/>
      <c r="B707" s="149" t="n">
        <v>690</v>
      </c>
      <c r="C707" s="223" t="inlineStr">
        <is>
          <t>NFF-690 – Cliente (Home Page Principal) - modo oscuro – Fondo de cabecera: Fondo oscuro con efecto de partículas/estrellas en tonos dorados difuminados.</t>
        </is>
      </c>
      <c r="D707" s="218" t="n"/>
      <c r="E707" s="153" t="n"/>
      <c r="F707" s="55" t="inlineStr">
        <is>
          <t>x</t>
        </is>
      </c>
      <c r="G707" s="55" t="n"/>
      <c r="H707" s="55" t="n"/>
      <c r="I707" s="56" t="n"/>
      <c r="J707" s="121" t="n"/>
      <c r="K707" s="121" t="n"/>
      <c r="L707" s="121" t="n"/>
      <c r="M707" s="121" t="n"/>
    </row>
    <row r="708" ht="18.75" customHeight="1" s="215">
      <c r="A708" s="152" t="n"/>
      <c r="B708" s="149" t="n">
        <v>691</v>
      </c>
      <c r="C708" s="223" t="inlineStr">
        <is>
          <t>NFF-691 – Cliente (Home Page Principal) - modo oscuro – Sección "Tipos de Cocina": Título blanco bold y carrusel de tarjetas con iconos lineales de colores (Azul para Italiana, Verde para Asiática, Amarillo para Japonesa).</t>
        </is>
      </c>
      <c r="D708" s="218" t="n"/>
      <c r="E708" s="153" t="n"/>
      <c r="F708" s="55" t="inlineStr">
        <is>
          <t>x</t>
        </is>
      </c>
      <c r="G708" s="55" t="n"/>
      <c r="H708" s="55" t="n"/>
      <c r="I708" s="56" t="n"/>
      <c r="J708" s="121" t="n"/>
      <c r="K708" s="121" t="n"/>
      <c r="L708" s="121" t="n"/>
      <c r="M708" s="121" t="n"/>
    </row>
    <row r="709" ht="18.75" customHeight="1" s="215">
      <c r="A709" s="152" t="n"/>
      <c r="B709" s="149" t="n">
        <v>692</v>
      </c>
      <c r="C709" s="223" t="inlineStr">
        <is>
          <t>NFF-692 – Cliente (Home Page Principal) - modo oscuro – Navegación de carrusel: Flechas laterales (izquierda/derecha) sobre fondos oscuros y puntos de paginación (pagination dots) azules inferiores.</t>
        </is>
      </c>
      <c r="D709" s="218" t="n"/>
      <c r="E709" s="153" t="n"/>
      <c r="F709" s="55" t="inlineStr">
        <is>
          <t>x</t>
        </is>
      </c>
      <c r="G709" s="55" t="n"/>
      <c r="H709" s="55" t="n"/>
      <c r="I709" s="56" t="n"/>
      <c r="J709" s="121" t="n"/>
      <c r="K709" s="121" t="n"/>
      <c r="L709" s="121" t="n"/>
      <c r="M709" s="121" t="n"/>
    </row>
    <row r="710" ht="18.75" customHeight="1" s="215">
      <c r="A710" s="152" t="n"/>
      <c r="B710" s="149" t="n">
        <v>693</v>
      </c>
      <c r="C710" s="223" t="inlineStr">
        <is>
          <t>NFF-693 – Cliente (Home Page Principal) - modo oscuro – Sección "Restaurantes Destacados": Título principal y subtítulo en gris medio; tarjetas con imagen superior y badge rojo "Disponible hoy".</t>
        </is>
      </c>
      <c r="D710" s="218" t="n"/>
      <c r="E710" s="153" t="n"/>
      <c r="F710" s="55" t="n"/>
      <c r="G710" s="55" t="inlineStr">
        <is>
          <t>x</t>
        </is>
      </c>
      <c r="H710" s="55" t="n"/>
      <c r="I710" s="56" t="n"/>
      <c r="J710" s="121" t="n"/>
      <c r="K710" s="121" t="n"/>
      <c r="L710" s="121" t="n"/>
      <c r="M710" s="121" t="n"/>
    </row>
    <row r="711" ht="18.75" customHeight="1" s="215">
      <c r="A711" s="152" t="n"/>
      <c r="B711" s="149" t="n">
        <v>694</v>
      </c>
      <c r="C711" s="223" t="inlineStr">
        <is>
          <t>NFF-694 – Cliente (Home Page Principal) - modo oscuro – Tarjeta de restaurante: Fondo negro, nombre en blanco bold, descripción en gris, icono de estrella roja para calificación y dirección con icono de pin.</t>
        </is>
      </c>
      <c r="D711" s="218" t="n"/>
      <c r="E711" s="153" t="n"/>
      <c r="F711" s="55" t="inlineStr">
        <is>
          <t>x</t>
        </is>
      </c>
      <c r="G711" s="55" t="n"/>
      <c r="H711" s="55" t="n"/>
      <c r="I711" s="56" t="n"/>
      <c r="J711" s="121" t="n"/>
      <c r="K711" s="121" t="n"/>
      <c r="L711" s="121" t="n"/>
      <c r="M711" s="121" t="n"/>
    </row>
    <row r="712" ht="18.75" customHeight="1" s="215">
      <c r="A712" s="152" t="n"/>
      <c r="B712" s="149" t="n">
        <v>695</v>
      </c>
      <c r="C712" s="223" t="inlineStr">
        <is>
          <t>NFF-695 – Cliente (Home Page Principal) - modo oscuro – Botón "Ver disponibilidad": Fondo rojo intenso (#991b1b), texto blanco y border-radius de 8px dentro de la tarjeta de restaurante.</t>
        </is>
      </c>
      <c r="D712" s="218" t="n"/>
      <c r="E712" s="153" t="n"/>
      <c r="F712" s="55" t="inlineStr">
        <is>
          <t>x</t>
        </is>
      </c>
      <c r="G712" s="55" t="n"/>
      <c r="H712" s="55" t="n"/>
      <c r="I712" s="56" t="n"/>
      <c r="J712" s="121" t="n"/>
      <c r="K712" s="121" t="n"/>
      <c r="L712" s="121" t="n"/>
      <c r="M712" s="121" t="n"/>
    </row>
    <row r="713" ht="18.75" customHeight="1" s="215">
      <c r="A713" s="152" t="n"/>
      <c r="B713" s="149" t="n">
        <v>696</v>
      </c>
      <c r="C713" s="223" t="inlineStr">
        <is>
          <t>NFF-696 – Cliente (Home Page Principal) - modo oscuro – Sección de beneficios "¿Por qué elegir Reservify?": Tres bloques centrados con iconos dorados/rojos y títulos: "Reserva Instantánea", "Para Todos" y "Los Mejores".</t>
        </is>
      </c>
      <c r="D713" s="218" t="n"/>
      <c r="E713" s="153" t="n"/>
      <c r="F713" s="55" t="n"/>
      <c r="G713" s="55" t="inlineStr">
        <is>
          <t>x</t>
        </is>
      </c>
      <c r="H713" s="55" t="n"/>
      <c r="I713" s="56" t="n"/>
      <c r="J713" s="121" t="n"/>
      <c r="K713" s="121" t="n"/>
      <c r="L713" s="121" t="n"/>
      <c r="M713" s="121" t="n"/>
    </row>
    <row r="714" ht="18.75" customHeight="1" s="215">
      <c r="A714" s="152" t="n"/>
      <c r="B714" s="149" t="n">
        <v>697</v>
      </c>
      <c r="C714" s="223" t="inlineStr">
        <is>
          <t>NFF-697 – Cliente (Home Page Principal) - modo oscuro – Banner de descarga (CTA): Degradado horizontal de rojo a amarillo con texto "¿Listo para tu próxima experiencia culinaria?" en blanco bold.</t>
        </is>
      </c>
      <c r="D714" s="218" t="n"/>
      <c r="E714" s="153" t="n"/>
      <c r="F714" s="55" t="n"/>
      <c r="G714" s="55" t="inlineStr">
        <is>
          <t>x</t>
        </is>
      </c>
      <c r="H714" s="55" t="n"/>
      <c r="I714" s="56" t="n"/>
      <c r="J714" s="121" t="n"/>
      <c r="K714" s="121" t="n"/>
      <c r="L714" s="121" t="n"/>
      <c r="M714" s="121" t="n"/>
    </row>
    <row r="715" ht="18.75" customHeight="1" s="215">
      <c r="A715" s="152" t="n"/>
      <c r="B715" s="149" t="n">
        <v>698</v>
      </c>
      <c r="C715" s="223" t="inlineStr">
        <is>
          <t>NFF-698 – Cliente (Home Page Principal) - modo oscuro – Botón "Descargar app": Botón negro sólido con texto blanco, ubicado de forma central en el banner de cierre.</t>
        </is>
      </c>
      <c r="D715" s="218" t="n"/>
      <c r="E715" s="153" t="n"/>
      <c r="F715" s="55" t="n"/>
      <c r="G715" s="55" t="n"/>
      <c r="H715" s="55" t="inlineStr">
        <is>
          <t>x</t>
        </is>
      </c>
      <c r="I715" s="56" t="n"/>
      <c r="J715" s="121" t="n"/>
      <c r="K715" s="121" t="n"/>
      <c r="L715" s="121" t="n"/>
      <c r="M715" s="121" t="n"/>
    </row>
    <row r="716" ht="18.75" customHeight="1" s="215">
      <c r="A716" s="152" t="n"/>
      <c r="B716" s="149" t="n">
        <v>699</v>
      </c>
      <c r="C716" s="223" t="inlineStr">
        <is>
          <t>NFF-699 – Cliente (Home Page Principal) - modo oscuro – Pie de página (Footer): Fondo negro con columnas para "Restaurantes", "Empresa" y "Soporte"; texto legal de copyright en la base.</t>
        </is>
      </c>
      <c r="D716" s="218" t="n"/>
      <c r="E716" s="153" t="n"/>
      <c r="F716" s="55" t="inlineStr">
        <is>
          <t>x</t>
        </is>
      </c>
      <c r="G716" s="55" t="n"/>
      <c r="H716" s="55" t="n"/>
      <c r="I716" s="56" t="n"/>
      <c r="J716" s="121" t="n"/>
      <c r="K716" s="121" t="n"/>
      <c r="L716" s="121" t="n"/>
      <c r="M716" s="121" t="n"/>
    </row>
    <row r="717" ht="18.75" customHeight="1" s="215">
      <c r="A717" s="152" t="n"/>
      <c r="B717" s="149" t="n">
        <v>700</v>
      </c>
      <c r="C717" s="223" t="inlineStr">
        <is>
          <t>NFF-700 – Cliente (Home Page Principal) - modo claro – Barra de navegación (Navbar): Fondo beige muy claro con logo "Reservify"; enlaces a "Restaurantes", icono de sol (selector de modo) y botón de perfil a la derecha.</t>
        </is>
      </c>
      <c r="D717" s="218" t="n"/>
      <c r="E717" s="153" t="n"/>
      <c r="F717" s="55" t="inlineStr">
        <is>
          <t>x</t>
        </is>
      </c>
      <c r="G717" s="55" t="n"/>
      <c r="H717" s="55" t="n"/>
      <c r="I717" s="56" t="n"/>
      <c r="J717" s="121" t="n"/>
      <c r="K717" s="121" t="n"/>
      <c r="L717" s="121" t="n"/>
      <c r="M717" s="121" t="n"/>
    </row>
    <row r="718" ht="18.75" customHeight="1" s="215">
      <c r="A718" s="152" t="n"/>
      <c r="B718" s="149" t="n">
        <v>701</v>
      </c>
      <c r="C718" s="223" t="inlineStr">
        <is>
          <t>NFF-701 – Cliente (Home Page Principal) - modo claro – Sección Hero - Título principal: "Reserva en tu restaurante favorito" con degradado de naranja a dorado y peso extra-bold.</t>
        </is>
      </c>
      <c r="D718" s="218" t="n"/>
      <c r="E718" s="153" t="n"/>
      <c r="F718" s="55" t="n"/>
      <c r="G718" s="55" t="inlineStr">
        <is>
          <t>x</t>
        </is>
      </c>
      <c r="H718" s="55" t="n"/>
      <c r="I718" s="56" t="n"/>
      <c r="J718" s="121" t="n"/>
      <c r="K718" s="121" t="n"/>
      <c r="L718" s="121" t="n"/>
      <c r="M718" s="121" t="n"/>
    </row>
    <row r="719" ht="18.75" customHeight="1" s="215">
      <c r="A719" s="152" t="n"/>
      <c r="B719" s="149" t="n">
        <v>702</v>
      </c>
      <c r="C719" s="223" t="inlineStr">
        <is>
          <t>NFF-702 – Cliente (Home Page Principal) - modo claro – Sección Hero - Subtítulo: Texto en gris medio centrado, describiendo la facilidad para encontrar lugares ideales.</t>
        </is>
      </c>
      <c r="D719" s="218" t="n"/>
      <c r="E719" s="153" t="n"/>
      <c r="F719" s="55" t="inlineStr">
        <is>
          <t>x</t>
        </is>
      </c>
      <c r="G719" s="55" t="n"/>
      <c r="H719" s="55" t="n"/>
      <c r="I719" s="56" t="n"/>
      <c r="J719" s="121" t="n"/>
      <c r="K719" s="121" t="n"/>
      <c r="L719" s="121" t="n"/>
      <c r="M719" s="121" t="n"/>
    </row>
    <row r="720" ht="18.75" customHeight="1" s="215">
      <c r="A720" s="152" t="n"/>
      <c r="B720" s="149" t="n">
        <v>703</v>
      </c>
      <c r="C720" s="223" t="inlineStr">
        <is>
          <t>NFF-703 – Cliente (Home Page Principal) - modo claro – Barra de búsqueda: Contenedor claro con borde naranja suave, placeholder descriptivo y botón "Buscar" en color naranja vibrante.</t>
        </is>
      </c>
      <c r="D720" s="218" t="n"/>
      <c r="E720" s="153" t="n"/>
      <c r="F720" s="55" t="inlineStr">
        <is>
          <t>x</t>
        </is>
      </c>
      <c r="G720" s="55" t="n"/>
      <c r="H720" s="55" t="n"/>
      <c r="I720" s="56" t="n"/>
      <c r="J720" s="121" t="n"/>
      <c r="K720" s="121" t="n"/>
      <c r="L720" s="121" t="n"/>
      <c r="M720" s="121" t="n"/>
    </row>
    <row r="721" ht="18.75" customHeight="1" s="215">
      <c r="A721" s="152" t="n"/>
      <c r="B721" s="149" t="n">
        <v>704</v>
      </c>
      <c r="C721" s="223" t="inlineStr">
        <is>
          <t>NFF-704 – Cliente (Home Page Principal) - modo claro – Etiquetas de categorías rápidas: Botones con fondo azul muy claro y texto en azul sólido (Italiana, Japonesa, Mexicana, Mediterránea).</t>
        </is>
      </c>
      <c r="D721" s="218" t="n"/>
      <c r="E721" s="153" t="n"/>
      <c r="F721" s="55" t="inlineStr">
        <is>
          <t>x</t>
        </is>
      </c>
      <c r="G721" s="55" t="n"/>
      <c r="H721" s="55" t="n"/>
      <c r="I721" s="56" t="n"/>
      <c r="J721" s="121" t="n"/>
      <c r="K721" s="121" t="n"/>
      <c r="L721" s="121" t="n"/>
      <c r="M721" s="121" t="n"/>
    </row>
    <row r="722" ht="18.75" customHeight="1" s="215">
      <c r="A722" s="152" t="n"/>
      <c r="B722" s="149" t="n">
        <v>705</v>
      </c>
      <c r="C722" s="223" t="inlineStr">
        <is>
          <t>NFF-705 – Cliente (Home Page Principal) - modo claro – Botón de ubicación: Texto "Usar mi ubicación actual" con icono de pin de mapa en gris, centrado bajo la búsqueda.</t>
        </is>
      </c>
      <c r="D722" s="218" t="n"/>
      <c r="E722" s="153" t="n"/>
      <c r="F722" s="55" t="inlineStr">
        <is>
          <t>x</t>
        </is>
      </c>
      <c r="G722" s="55" t="n"/>
      <c r="H722" s="55" t="n"/>
      <c r="I722" s="56" t="n"/>
      <c r="J722" s="121" t="n"/>
      <c r="K722" s="121" t="n"/>
      <c r="L722" s="121" t="n"/>
      <c r="M722" s="121" t="n"/>
    </row>
    <row r="723" ht="18.75" customHeight="1" s="215">
      <c r="A723" s="152" t="n"/>
      <c r="B723" s="149" t="n">
        <v>706</v>
      </c>
      <c r="C723" s="223" t="inlineStr">
        <is>
          <t>NFF-706 – Cliente (Home Page Principal) - modo claro – Sección "Tipos de Cocina": Título en azul oscuro y carrusel de tarjetas con fondos de colores pastel e iconos lineales de colores (Azul, Verde, Amarillo).</t>
        </is>
      </c>
      <c r="D723" s="218" t="n"/>
      <c r="E723" s="153" t="n"/>
      <c r="F723" s="55" t="inlineStr">
        <is>
          <t>x</t>
        </is>
      </c>
      <c r="G723" s="55" t="n"/>
      <c r="H723" s="55" t="n"/>
      <c r="I723" s="56" t="n"/>
      <c r="J723" s="121" t="n"/>
      <c r="K723" s="121" t="n"/>
      <c r="L723" s="121" t="n"/>
      <c r="M723" s="121" t="n"/>
    </row>
    <row r="724" ht="18.75" customHeight="1" s="215">
      <c r="A724" s="152" t="n"/>
      <c r="B724" s="149" t="n">
        <v>707</v>
      </c>
      <c r="C724" s="223" t="inlineStr">
        <is>
          <t>NFF-707 – Cliente (Home Page Principal) - modo claro – Navegación de carrusel: Botones laterales blancos con flechas azules y puntos de paginación (dots) azules en la base.</t>
        </is>
      </c>
      <c r="D724" s="218" t="n"/>
      <c r="E724" s="153" t="n"/>
      <c r="F724" s="55" t="inlineStr">
        <is>
          <t>x</t>
        </is>
      </c>
      <c r="G724" s="55" t="n"/>
      <c r="H724" s="55" t="n"/>
      <c r="I724" s="56" t="n"/>
      <c r="J724" s="121" t="n"/>
      <c r="K724" s="121" t="n"/>
      <c r="L724" s="121" t="n"/>
      <c r="M724" s="121" t="n"/>
    </row>
    <row r="725" ht="18.75" customHeight="1" s="215">
      <c r="A725" s="152" t="n"/>
      <c r="B725" s="149" t="n">
        <v>708</v>
      </c>
      <c r="C725" s="223" t="inlineStr">
        <is>
          <t>NFF-708 – Cliente (Home Page Principal) - modo claro – Sección "Restaurantes Destacados": Título principal y subtítulo en gris oscuro; tarjetas con imagen y badge naranja "Disponible hoy".</t>
        </is>
      </c>
      <c r="D725" s="218" t="n"/>
      <c r="E725" s="153" t="n"/>
      <c r="F725" s="55" t="n"/>
      <c r="G725" s="55" t="inlineStr">
        <is>
          <t>x</t>
        </is>
      </c>
      <c r="H725" s="55" t="n"/>
      <c r="I725" s="56" t="n"/>
      <c r="J725" s="121" t="n"/>
      <c r="K725" s="121" t="n"/>
      <c r="L725" s="121" t="n"/>
      <c r="M725" s="121" t="n"/>
    </row>
    <row r="726" ht="18.75" customHeight="1" s="215">
      <c r="A726" s="152" t="n"/>
      <c r="B726" s="149" t="n">
        <v>709</v>
      </c>
      <c r="C726" s="223" t="inlineStr">
        <is>
          <t>NFF-709 – Cliente (Home Page Principal) - modo claro – Tarjeta de restaurante: Fondo blanco, nombre en negro bold, descripción en gris, icono de estrella naranja para calificación y dirección con pin gris.</t>
        </is>
      </c>
      <c r="D726" s="218" t="n"/>
      <c r="E726" s="153" t="n"/>
      <c r="F726" s="55" t="inlineStr">
        <is>
          <t>x</t>
        </is>
      </c>
      <c r="G726" s="55" t="n"/>
      <c r="H726" s="55" t="n"/>
      <c r="I726" s="56" t="n"/>
      <c r="J726" s="121" t="n"/>
      <c r="K726" s="121" t="n"/>
      <c r="L726" s="121" t="n"/>
      <c r="M726" s="121" t="n"/>
    </row>
    <row r="727" ht="18.75" customHeight="1" s="215">
      <c r="A727" s="152" t="n"/>
      <c r="B727" s="149" t="n">
        <v>710</v>
      </c>
      <c r="C727" s="223" t="inlineStr">
        <is>
          <t>NFF-710 – Cliente (Home Page Principal) - modo claro – Botón "Ver disponibilidad": Fondo naranja sólido, texto blanco y border-radius de 8px dentro de la tarjeta de restaurante.</t>
        </is>
      </c>
      <c r="D727" s="218" t="n"/>
      <c r="E727" s="153" t="n"/>
      <c r="F727" s="55" t="inlineStr">
        <is>
          <t>x</t>
        </is>
      </c>
      <c r="G727" s="55" t="n"/>
      <c r="H727" s="55" t="n"/>
      <c r="I727" s="56" t="n"/>
      <c r="J727" s="121" t="n"/>
      <c r="K727" s="121" t="n"/>
      <c r="L727" s="121" t="n"/>
      <c r="M727" s="121" t="n"/>
    </row>
    <row r="728" ht="18.75" customHeight="1" s="215">
      <c r="A728" s="152" t="n"/>
      <c r="B728" s="149" t="n">
        <v>711</v>
      </c>
      <c r="C728" s="223" t="inlineStr">
        <is>
          <t>NFF-711 – Cliente (Home Page Principal) - modo claro – Sección de beneficios "¿Por qué elegir Reservify?": Bloques con iconos en cajas de colores suaves (rojo, amarillo, verde) y títulos en azul oscuro.</t>
        </is>
      </c>
      <c r="D728" s="218" t="n"/>
      <c r="E728" s="153" t="n"/>
      <c r="F728" s="55" t="inlineStr">
        <is>
          <t>x</t>
        </is>
      </c>
      <c r="G728" s="55" t="n"/>
      <c r="H728" s="55" t="n"/>
      <c r="I728" s="56" t="n"/>
      <c r="J728" s="121" t="n"/>
      <c r="K728" s="121" t="n"/>
      <c r="L728" s="121" t="n"/>
      <c r="M728" s="121" t="n"/>
    </row>
    <row r="729" ht="18.75" customHeight="1" s="215">
      <c r="A729" s="152" t="n"/>
      <c r="B729" s="149" t="n">
        <v>712</v>
      </c>
      <c r="C729" s="223" t="inlineStr">
        <is>
          <t>NFF-712 – Cliente (Home Page Principal) - modo claro – Banner de descarga (CTA): Degradado de naranja a verde oliva/dorado con texto "¿Listo para tu próxima experiencia culinaria?" en blanco bold.</t>
        </is>
      </c>
      <c r="D729" s="218" t="n"/>
      <c r="E729" s="153" t="n"/>
      <c r="F729" s="55" t="n"/>
      <c r="G729" s="55" t="inlineStr">
        <is>
          <t>x</t>
        </is>
      </c>
      <c r="H729" s="55" t="n"/>
      <c r="I729" s="56" t="n"/>
      <c r="J729" s="121" t="n"/>
      <c r="K729" s="121" t="n"/>
      <c r="L729" s="121" t="n"/>
      <c r="M729" s="121" t="n"/>
    </row>
    <row r="730" ht="18.75" customHeight="1" s="215">
      <c r="A730" s="152" t="n"/>
      <c r="B730" s="149" t="n">
        <v>713</v>
      </c>
      <c r="C730" s="223" t="inlineStr">
        <is>
          <t>NFF-713 – Cliente (Home Page Principal) - modo claro – Botón "Descargar app": Botón blanco sólido con texto negro y border-radius de 8px, centrado en el banner inferior.</t>
        </is>
      </c>
      <c r="D730" s="218" t="n"/>
      <c r="E730" s="153" t="n"/>
      <c r="F730" s="55" t="n"/>
      <c r="G730" s="55" t="n"/>
      <c r="H730" s="55" t="inlineStr">
        <is>
          <t>x</t>
        </is>
      </c>
      <c r="I730" s="56" t="n"/>
      <c r="J730" s="121" t="n"/>
      <c r="K730" s="121" t="n"/>
      <c r="L730" s="121" t="n"/>
      <c r="M730" s="121" t="n"/>
    </row>
    <row r="731" ht="18.75" customHeight="1" s="215">
      <c r="A731" s="152" t="n"/>
      <c r="B731" s="149" t="n">
        <v>714</v>
      </c>
      <c r="C731" s="223" t="inlineStr">
        <is>
          <t>NFF-714 – Cliente (Home Page Principal) - modo claro – Pie de página (Footer): Fondo azul oscuro profundo con logo y columnas de navegación; texto de copyright blanco en la base.</t>
        </is>
      </c>
      <c r="D731" s="218" t="n"/>
      <c r="E731" s="153" t="n"/>
      <c r="F731" s="55" t="inlineStr">
        <is>
          <t>x</t>
        </is>
      </c>
      <c r="G731" s="55" t="n"/>
      <c r="H731" s="55" t="n"/>
      <c r="I731" s="56" t="n"/>
      <c r="J731" s="121" t="n"/>
      <c r="K731" s="121" t="n"/>
      <c r="L731" s="121" t="n"/>
      <c r="M731" s="121" t="n"/>
    </row>
    <row r="732" ht="18.75" customHeight="1" s="215">
      <c r="A732" s="152" t="n"/>
      <c r="B732" s="149" t="n">
        <v>715</v>
      </c>
      <c r="C732" s="223" t="inlineStr">
        <is>
          <t>NFF-715 – Cliente (Aparto descripcion y reserva de restaurante) - modo oscuro – Banner principal (Hero): Imagen a sangre con el nombre del restaurante "prueba" en blanco bold, calificación de estrellas (0.0), categoría y badge rojo "Disponible hoy".</t>
        </is>
      </c>
      <c r="D732" s="218" t="n"/>
      <c r="E732" s="153" t="n"/>
      <c r="F732" s="55" t="n"/>
      <c r="G732" s="55" t="inlineStr">
        <is>
          <t>x</t>
        </is>
      </c>
      <c r="H732" s="55" t="n"/>
      <c r="I732" s="56" t="n"/>
      <c r="J732" s="121" t="n"/>
      <c r="K732" s="121" t="n"/>
      <c r="L732" s="121" t="n"/>
      <c r="M732" s="121" t="n"/>
    </row>
    <row r="733" ht="18.75" customHeight="1" s="215">
      <c r="A733" s="152" t="n"/>
      <c r="B733" s="149" t="n">
        <v>716</v>
      </c>
      <c r="C733" s="223" t="inlineStr">
        <is>
          <t>NFF-716 – Cliente (Aparto descripcion y reserva de restaurante) - modo oscuro – Barra superior de navegación: Enlace "Volver al inicio" con flecha a la izquierda y logo "Reservify" con selector de modo a la derecha.</t>
        </is>
      </c>
      <c r="D733" s="218" t="n"/>
      <c r="E733" s="153" t="n"/>
      <c r="F733" s="55" t="inlineStr">
        <is>
          <t>x</t>
        </is>
      </c>
      <c r="G733" s="55" t="n"/>
      <c r="H733" s="55" t="n"/>
      <c r="I733" s="56" t="n"/>
      <c r="J733" s="121" t="n"/>
      <c r="K733" s="121" t="n"/>
      <c r="L733" s="121" t="n"/>
      <c r="M733" s="121" t="n"/>
    </row>
    <row r="734" ht="18.75" customHeight="1" s="215">
      <c r="A734" s="152" t="n"/>
      <c r="B734" s="149" t="n">
        <v>717</v>
      </c>
      <c r="C734" s="223" t="inlineStr">
        <is>
          <t>NFF-717 – Cliente (Aparto descripcion y reserva de restaurante) - modo oscuro – Contenedor de descripción: Recuadro con fondo gris muy oscuro y texto descriptivo en blanco/gris claro.</t>
        </is>
      </c>
      <c r="D734" s="218" t="n"/>
      <c r="E734" s="153" t="n"/>
      <c r="F734" s="55" t="inlineStr">
        <is>
          <t>x</t>
        </is>
      </c>
      <c r="G734" s="55" t="n"/>
      <c r="H734" s="55" t="n"/>
      <c r="I734" s="56" t="n"/>
      <c r="J734" s="121" t="n"/>
      <c r="K734" s="121" t="n"/>
      <c r="L734" s="121" t="n"/>
      <c r="M734" s="121" t="n"/>
    </row>
    <row r="735" ht="18.75" customHeight="1" s="215">
      <c r="A735" s="152" t="n"/>
      <c r="B735" s="149" t="n">
        <v>718</v>
      </c>
      <c r="C735" s="223" t="inlineStr">
        <is>
          <t>NFF-718 – Cliente (Aparto descripcion y reserva de restaurante) - modo oscuro – Sección "Galería de Imágenes": Título en blanco y grid de imágenes de referencia con bordes redondeados (border-radius 8px).</t>
        </is>
      </c>
      <c r="D735" s="218" t="n"/>
      <c r="E735" s="153" t="n"/>
      <c r="F735" s="55" t="inlineStr">
        <is>
          <t>x</t>
        </is>
      </c>
      <c r="G735" s="55" t="n"/>
      <c r="H735" s="55" t="n"/>
      <c r="I735" s="56" t="n"/>
      <c r="J735" s="121" t="n"/>
      <c r="K735" s="121" t="n"/>
      <c r="L735" s="121" t="n"/>
      <c r="M735" s="121" t="n"/>
    </row>
    <row r="736" ht="18.75" customHeight="1" s="215">
      <c r="A736" s="152" t="n"/>
      <c r="B736" s="149" t="n">
        <v>719</v>
      </c>
      <c r="C736" s="223" t="inlineStr">
        <is>
          <t>NFF-719 – Cliente (Aparto descripcion y reserva de restaurante) - modo oscuro – Card de Reserva (Sidebar): Fondo gris oscuro con título "Hacer Reserva" e icono de calendario; incluye campos de selección para fecha, hora, comensales y mesa.</t>
        </is>
      </c>
      <c r="D736" s="218" t="n"/>
      <c r="E736" s="153" t="n"/>
      <c r="F736" s="55" t="inlineStr">
        <is>
          <t>x</t>
        </is>
      </c>
      <c r="G736" s="55" t="n"/>
      <c r="H736" s="55" t="n"/>
      <c r="I736" s="56" t="n"/>
      <c r="J736" s="121" t="n"/>
      <c r="K736" s="121" t="n"/>
      <c r="L736" s="121" t="n"/>
      <c r="M736" s="121" t="n"/>
    </row>
    <row r="737" ht="18.75" customHeight="1" s="215">
      <c r="A737" s="152" t="n"/>
      <c r="B737" s="149" t="n">
        <v>720</v>
      </c>
      <c r="C737" s="223" t="inlineStr">
        <is>
          <t>NFF-720 – Cliente (Aparto descripcion y reserva de restaurante) - modo oscuro – Botón "Hacer Pago de Reserva": Fondo rojo intenso (#991b1b), texto blanco bold e icono de billetera/tarjeta a la izquierda.</t>
        </is>
      </c>
      <c r="D737" s="218" t="n"/>
      <c r="E737" s="153" t="n"/>
      <c r="F737" s="55" t="inlineStr">
        <is>
          <t>x</t>
        </is>
      </c>
      <c r="G737" s="55" t="n"/>
      <c r="H737" s="55" t="n"/>
      <c r="I737" s="56" t="n"/>
      <c r="J737" s="121" t="n"/>
      <c r="K737" s="121" t="n"/>
      <c r="L737" s="121" t="n"/>
      <c r="M737" s="121" t="n"/>
    </row>
    <row r="738" ht="18.75" customHeight="1" s="215">
      <c r="A738" s="152" t="n"/>
      <c r="B738" s="149" t="n">
        <v>721</v>
      </c>
      <c r="C738" s="223" t="inlineStr">
        <is>
          <t>NFF-721 – Cliente (Aparto descripcion y reserva de restaurante) - modo oscuro – Card de "Información Importante": Fondo gris oscuro con lista de viñetas sobre políticas de pago, cancelación (2 horas) y tiempo de reserva.</t>
        </is>
      </c>
      <c r="D738" s="218" t="n"/>
      <c r="E738" s="153" t="n"/>
      <c r="F738" s="55" t="inlineStr">
        <is>
          <t>x</t>
        </is>
      </c>
      <c r="G738" s="55" t="n"/>
      <c r="H738" s="55" t="n"/>
      <c r="I738" s="56" t="n"/>
      <c r="J738" s="121" t="n"/>
      <c r="K738" s="121" t="n"/>
      <c r="L738" s="121" t="n"/>
      <c r="M738" s="121" t="n"/>
    </row>
    <row r="739" ht="18.75" customHeight="1" s="215">
      <c r="A739" s="152" t="n"/>
      <c r="B739" s="149" t="n">
        <v>722</v>
      </c>
      <c r="C739" s="223" t="inlineStr">
        <is>
          <t>NFF-722 – Cliente (Aparto descripcion y reserva de restaurante) - modo oscuro – Bloques de Información del Restaurante: Contenedores con iconos rojos para "Dirección" y "Horarios", con texto detallado en blanco y gris.</t>
        </is>
      </c>
      <c r="D739" s="218" t="n"/>
      <c r="E739" s="153" t="n"/>
      <c r="F739" s="55" t="inlineStr">
        <is>
          <t>x</t>
        </is>
      </c>
      <c r="G739" s="55" t="n"/>
      <c r="H739" s="55" t="n"/>
      <c r="I739" s="56" t="n"/>
      <c r="J739" s="121" t="n"/>
      <c r="K739" s="121" t="n"/>
      <c r="L739" s="121" t="n"/>
      <c r="M739" s="121" t="n"/>
    </row>
    <row r="740" ht="18.75" customHeight="1" s="215">
      <c r="A740" s="152" t="n"/>
      <c r="B740" s="149" t="n">
        <v>723</v>
      </c>
      <c r="C740" s="223" t="inlineStr">
        <is>
          <t>NFF-723 – Cliente (Aparto descripcion y reserva de restaurante) - modo oscuro – Sección de Mapa: Título "Ubicación en el mapa" e instrucciones en gris; mapa interactivo con pin azul y botones de ubicación ("Usar mi ubicación" en blanco).</t>
        </is>
      </c>
      <c r="D740" s="218" t="n"/>
      <c r="E740" s="153" t="n"/>
      <c r="F740" s="55" t="inlineStr">
        <is>
          <t>x</t>
        </is>
      </c>
      <c r="G740" s="55" t="n"/>
      <c r="H740" s="55" t="n"/>
      <c r="I740" s="56" t="n"/>
      <c r="J740" s="121" t="n"/>
      <c r="K740" s="121" t="n"/>
      <c r="L740" s="121" t="n"/>
      <c r="M740" s="121" t="n"/>
    </row>
    <row r="741" ht="18.75" customHeight="1" s="215">
      <c r="A741" s="152" t="n"/>
      <c r="B741" s="149" t="n">
        <v>724</v>
      </c>
      <c r="C741" s="223" t="inlineStr">
        <is>
          <t>NFF-724 – Cliente (Aparto descripcion y reserva de restaurante) - modo oscuro – Sección "Mesas Disponibles": Título blanco y tarjetas individuales con nombre de mesa, badge amarillo "Disponible", capacidad y precio destacado en rojo.</t>
        </is>
      </c>
      <c r="D741" s="218" t="n"/>
      <c r="E741" s="153" t="n"/>
      <c r="F741" s="55" t="inlineStr">
        <is>
          <t>x</t>
        </is>
      </c>
      <c r="G741" s="55" t="n"/>
      <c r="H741" s="55" t="n"/>
      <c r="I741" s="56" t="n"/>
      <c r="J741" s="121" t="n"/>
      <c r="K741" s="121" t="n"/>
      <c r="L741" s="121" t="n"/>
      <c r="M741" s="121" t="n"/>
    </row>
    <row r="742" ht="18.75" customHeight="1" s="215">
      <c r="A742" s="152" t="n"/>
      <c r="B742" s="149" t="n">
        <v>725</v>
      </c>
      <c r="C742" s="223" t="inlineStr">
        <is>
          <t>NFF-725 – Cliente (Aparto descripcion y reserva de restaurante) - modo oscuro – Sección "Deja tu Reseña": Selector de 5 estrellas lineales, área de texto (textarea) con fondo negro y botón "Enviar Reseña" en rojo oscuro.</t>
        </is>
      </c>
      <c r="D742" s="218" t="n"/>
      <c r="E742" s="153" t="n"/>
      <c r="F742" s="55" t="inlineStr">
        <is>
          <t>x</t>
        </is>
      </c>
      <c r="G742" s="55" t="n"/>
      <c r="H742" s="55" t="n"/>
      <c r="I742" s="56" t="n"/>
      <c r="J742" s="121" t="n"/>
      <c r="K742" s="121" t="n"/>
      <c r="L742" s="121" t="n"/>
      <c r="M742" s="121" t="n"/>
    </row>
    <row r="743" ht="18.75" customHeight="1" s="215">
      <c r="A743" s="152" t="n"/>
      <c r="B743" s="149" t="n">
        <v>726</v>
      </c>
      <c r="C743" s="223" t="inlineStr">
        <is>
          <t>NFF-726 – Cliente (Aparto descripcion y reserva de restaurante) - modo oscuro – Aviso de Reseñas Vacías: Icono de estrella grande y texto "Aún no hay reseñas" centrado en color gris claro.</t>
        </is>
      </c>
      <c r="D743" s="218" t="n"/>
      <c r="E743" s="153" t="n"/>
      <c r="F743" s="55" t="inlineStr">
        <is>
          <t>x</t>
        </is>
      </c>
      <c r="G743" s="55" t="n"/>
      <c r="H743" s="55" t="n"/>
      <c r="I743" s="56" t="n"/>
      <c r="J743" s="121" t="n"/>
      <c r="K743" s="121" t="n"/>
      <c r="L743" s="121" t="n"/>
      <c r="M743" s="121" t="n"/>
    </row>
    <row r="744" ht="18.75" customHeight="1" s="215">
      <c r="A744" s="152" t="n"/>
      <c r="B744" s="149" t="n">
        <v>727</v>
      </c>
      <c r="C744" s="223" t="inlineStr">
        <is>
          <t>NFF-727 – Cliente (Aparto descripcion y reserva de restaurante) - modo oscuro – Fondo general de la página: Color negro sólido (#0a0a0a) con espaciado amplio entre secciones (gap).</t>
        </is>
      </c>
      <c r="D744" s="218" t="n"/>
      <c r="E744" s="153" t="n"/>
      <c r="F744" s="55" t="inlineStr">
        <is>
          <t>x</t>
        </is>
      </c>
      <c r="G744" s="55" t="n"/>
      <c r="H744" s="55" t="n"/>
      <c r="I744" s="56" t="n"/>
      <c r="J744" s="121" t="n"/>
      <c r="K744" s="121" t="n"/>
      <c r="L744" s="121" t="n"/>
      <c r="M744" s="121" t="n"/>
    </row>
    <row r="745" ht="18.75" customHeight="1" s="215">
      <c r="A745" s="152" t="n"/>
      <c r="B745" s="149" t="n">
        <v>728</v>
      </c>
      <c r="C745" s="223" t="inlineStr">
        <is>
          <t>NFF-728 – Cliente (Aparto descripcion y reserva de restaurante) - modo claro – Fondo general de la página: Color crema o beige muy claro (#f5f5f4 aprox.).</t>
        </is>
      </c>
      <c r="D745" s="218" t="n"/>
      <c r="E745" s="153" t="n"/>
      <c r="F745" s="55" t="inlineStr">
        <is>
          <t>x</t>
        </is>
      </c>
      <c r="G745" s="55" t="n"/>
      <c r="H745" s="55" t="n"/>
      <c r="I745" s="56" t="n"/>
      <c r="J745" s="121" t="n"/>
      <c r="K745" s="121" t="n"/>
      <c r="L745" s="121" t="n"/>
      <c r="M745" s="121" t="n"/>
    </row>
    <row r="746" ht="18.75" customHeight="1" s="215">
      <c r="A746" s="152" t="n"/>
      <c r="B746" s="149" t="n">
        <v>729</v>
      </c>
      <c r="C746" s="223" t="inlineStr">
        <is>
          <t>NFF-729 – Cliente (Aparto descripcion y reserva de restaurante) - modo claro – Banner principal (Hero): Imagen con bordes redondeados, nombre del restaurante "prueba" en blanco, calificación de estrellas (0.0), categoría y badge naranja "Disponible hoy".</t>
        </is>
      </c>
      <c r="D746" s="218" t="n"/>
      <c r="E746" s="153" t="n"/>
      <c r="F746" s="55" t="n"/>
      <c r="G746" s="55" t="inlineStr">
        <is>
          <t>x</t>
        </is>
      </c>
      <c r="H746" s="55" t="n"/>
      <c r="I746" s="56" t="n"/>
      <c r="J746" s="121" t="n"/>
      <c r="K746" s="121" t="n"/>
      <c r="L746" s="121" t="n"/>
      <c r="M746" s="121" t="n"/>
    </row>
    <row r="747" ht="18.75" customHeight="1" s="215">
      <c r="A747" s="152" t="n"/>
      <c r="B747" s="149" t="n">
        <v>730</v>
      </c>
      <c r="C747" s="223" t="inlineStr">
        <is>
          <t>NFF-730 – Cliente (Aparto descripcion y reserva de restaurante) - modo claro – Barra superior de navegación: Enlace "Volver al inicio" con flecha gris, logo "Reservify" central e icono de sol (selector de modo) a la derecha.</t>
        </is>
      </c>
      <c r="D747" s="218" t="n"/>
      <c r="E747" s="153" t="n"/>
      <c r="F747" s="55" t="inlineStr">
        <is>
          <t>x</t>
        </is>
      </c>
      <c r="G747" s="55" t="n"/>
      <c r="H747" s="55" t="n"/>
      <c r="I747" s="56" t="n"/>
      <c r="J747" s="121" t="n"/>
      <c r="K747" s="121" t="n"/>
      <c r="L747" s="121" t="n"/>
      <c r="M747" s="121" t="n"/>
    </row>
    <row r="748" ht="18.75" customHeight="1" s="215">
      <c r="A748" s="152" t="n"/>
      <c r="B748" s="149" t="n">
        <v>731</v>
      </c>
      <c r="C748" s="223" t="inlineStr">
        <is>
          <t>NFF-731 – Cliente (Aparto descripcion y reserva de restaurante) - modo claro – Contenedor de descripción: Recuadro con fondo blanco, bordes redondeados y texto descriptivo en gris oscuro.</t>
        </is>
      </c>
      <c r="D748" s="218" t="n"/>
      <c r="E748" s="153" t="n"/>
      <c r="F748" s="55" t="inlineStr">
        <is>
          <t>x</t>
        </is>
      </c>
      <c r="G748" s="55" t="n"/>
      <c r="H748" s="55" t="n"/>
      <c r="I748" s="56" t="n"/>
      <c r="J748" s="121" t="n"/>
      <c r="K748" s="121" t="n"/>
      <c r="L748" s="121" t="n"/>
      <c r="M748" s="121" t="n"/>
    </row>
    <row r="749" ht="18.75" customHeight="1" s="215">
      <c r="A749" s="152" t="n"/>
      <c r="B749" s="149" t="n">
        <v>732</v>
      </c>
      <c r="C749" s="223" t="inlineStr">
        <is>
          <t>NFF-732 – Cliente (Aparto descripcion y reserva de restaurante) - modo claro – Sección "Galería de Imágenes": Título en azul oscuro y grid de imágenes de referencia con bordes redondeados (border-radius 8px) en contenedor blanco.</t>
        </is>
      </c>
      <c r="D749" s="218" t="n"/>
      <c r="E749" s="153" t="n"/>
      <c r="F749" s="55" t="inlineStr">
        <is>
          <t>x</t>
        </is>
      </c>
      <c r="G749" s="55" t="n"/>
      <c r="H749" s="55" t="n"/>
      <c r="I749" s="56" t="n"/>
      <c r="J749" s="121" t="n"/>
      <c r="K749" s="121" t="n"/>
      <c r="L749" s="121" t="n"/>
      <c r="M749" s="121" t="n"/>
    </row>
    <row r="750" ht="18.75" customHeight="1" s="215">
      <c r="A750" s="152" t="n"/>
      <c r="B750" s="149" t="n">
        <v>733</v>
      </c>
      <c r="C750" s="223" t="inlineStr">
        <is>
          <t>NFF-733 – Cliente (Aparto descripcion y reserva de restaurante) - modo claro – Card de Reserva (Sidebar): Fondo blanco con sombra suave, título "Hacer Reserva" e icono de calendario naranja; incluye selectores para fecha, hora y comensales.</t>
        </is>
      </c>
      <c r="D750" s="218" t="n"/>
      <c r="E750" s="153" t="n"/>
      <c r="F750" s="55" t="inlineStr">
        <is>
          <t>x</t>
        </is>
      </c>
      <c r="G750" s="55" t="n"/>
      <c r="H750" s="55" t="n"/>
      <c r="I750" s="56" t="n"/>
      <c r="J750" s="121" t="n"/>
      <c r="K750" s="121" t="n"/>
      <c r="L750" s="121" t="n"/>
      <c r="M750" s="121" t="n"/>
    </row>
    <row r="751" ht="18.75" customHeight="1" s="215">
      <c r="A751" s="152" t="n"/>
      <c r="B751" s="149" t="n">
        <v>734</v>
      </c>
      <c r="C751" s="223" t="inlineStr">
        <is>
          <t>NFF-734 – Cliente (Aparto descripcion y reserva de restaurante) - modo claro – Botón "Hacer Pago de Reserva": Fondo naranja vibrante, texto blanco bold e icono de billetera a la izquierda.</t>
        </is>
      </c>
      <c r="D751" s="218" t="n"/>
      <c r="E751" s="153" t="n"/>
      <c r="F751" s="55" t="inlineStr">
        <is>
          <t>x</t>
        </is>
      </c>
      <c r="G751" s="55" t="n"/>
      <c r="H751" s="55" t="n"/>
      <c r="I751" s="56" t="n"/>
      <c r="J751" s="121" t="n"/>
      <c r="K751" s="121" t="n"/>
      <c r="L751" s="121" t="n"/>
      <c r="M751" s="121" t="n"/>
    </row>
    <row r="752" ht="18.75" customHeight="1" s="215">
      <c r="A752" s="152" t="n"/>
      <c r="B752" s="149" t="n">
        <v>735</v>
      </c>
      <c r="C752" s="223" t="inlineStr">
        <is>
          <t>NFF-735 – Cliente (Aparto descripcion y reserva de restaurante) - modo claro – Card de "Información Importante": Fondo blanco con viñetas en gris oscuro detallando políticas de pago, cancelación y tiempo de estancia.</t>
        </is>
      </c>
      <c r="D752" s="218" t="n"/>
      <c r="E752" s="153" t="n"/>
      <c r="F752" s="55" t="inlineStr">
        <is>
          <t>x</t>
        </is>
      </c>
      <c r="G752" s="55" t="n"/>
      <c r="H752" s="55" t="n"/>
      <c r="I752" s="56" t="n"/>
      <c r="J752" s="121" t="n"/>
      <c r="K752" s="121" t="n"/>
      <c r="L752" s="121" t="n"/>
      <c r="M752" s="121" t="n"/>
    </row>
    <row r="753" ht="18.75" customHeight="1" s="215">
      <c r="A753" s="152" t="n"/>
      <c r="B753" s="149" t="n">
        <v>736</v>
      </c>
      <c r="C753" s="223" t="inlineStr">
        <is>
          <t>NFF-736 – Cliente (Aparto descripcion y reserva de restaurante) - modo claro – Bloques de Información del Restaurante: Contenedores con fondo crema suave e iconos naranjas para "Dirección" y "Horarios".</t>
        </is>
      </c>
      <c r="D753" s="218" t="n"/>
      <c r="E753" s="153" t="n"/>
      <c r="F753" s="55" t="inlineStr">
        <is>
          <t>x</t>
        </is>
      </c>
      <c r="G753" s="55" t="n"/>
      <c r="H753" s="55" t="n"/>
      <c r="I753" s="56" t="n"/>
      <c r="J753" s="121" t="n"/>
      <c r="K753" s="121" t="n"/>
      <c r="L753" s="121" t="n"/>
      <c r="M753" s="121" t="n"/>
    </row>
    <row r="754" ht="18.75" customHeight="1" s="215">
      <c r="A754" s="152" t="n"/>
      <c r="B754" s="149" t="n">
        <v>737</v>
      </c>
      <c r="C754" s="223" t="inlineStr">
        <is>
          <t>NFF-737 – Cliente (Aparto descripcion y reserva de restaurante) - modo claro – Sección de Mapa: Título "Ubicación en el mapa"; incluye botón naranja "Usar mi ubicación" y mapa interactivo con pin azul.</t>
        </is>
      </c>
      <c r="D754" s="218" t="n"/>
      <c r="E754" s="153" t="n"/>
      <c r="F754" s="55" t="inlineStr">
        <is>
          <t>x</t>
        </is>
      </c>
      <c r="G754" s="55" t="n"/>
      <c r="H754" s="55" t="n"/>
      <c r="I754" s="56" t="n"/>
      <c r="J754" s="121" t="n"/>
      <c r="K754" s="121" t="n"/>
      <c r="L754" s="121" t="n"/>
      <c r="M754" s="121" t="n"/>
    </row>
    <row r="755" ht="18.75" customHeight="1" s="215">
      <c r="A755" s="152" t="n"/>
      <c r="B755" s="149" t="n">
        <v>738</v>
      </c>
      <c r="C755" s="223" t="inlineStr">
        <is>
          <t>NFF-738 – Cliente (Aparto descripcion y reserva de restaurante) - modo claro – Sección "Mesas Disponibles": Tarjetas blancas individuales con badge verde "Disponible", capacidad de personas y precio destacado en color naranja.</t>
        </is>
      </c>
      <c r="D755" s="218" t="n"/>
      <c r="E755" s="153" t="n"/>
      <c r="F755" s="55" t="inlineStr">
        <is>
          <t>x</t>
        </is>
      </c>
      <c r="G755" s="55" t="n"/>
      <c r="H755" s="55" t="n"/>
      <c r="I755" s="56" t="n"/>
      <c r="J755" s="121" t="n"/>
      <c r="K755" s="121" t="n"/>
      <c r="L755" s="121" t="n"/>
      <c r="M755" s="121" t="n"/>
    </row>
    <row r="756" ht="18.75" customHeight="1" s="215">
      <c r="A756" s="152" t="n"/>
      <c r="B756" s="149" t="n">
        <v>739</v>
      </c>
      <c r="C756" s="223" t="inlineStr">
        <is>
          <t>NFF-739 – Cliente (Aparto descripcion y reserva de restaurante) - modo claro – Sección "Deja tu Reseña": Selector de 5 estrellas lineales, área de texto blanca con borde gris y botón naranja suave "Enviar Reseña".</t>
        </is>
      </c>
      <c r="D756" s="218" t="n"/>
      <c r="E756" s="153" t="n"/>
      <c r="F756" s="55" t="inlineStr">
        <is>
          <t>x</t>
        </is>
      </c>
      <c r="G756" s="55" t="n"/>
      <c r="H756" s="55" t="n"/>
      <c r="I756" s="56" t="n"/>
      <c r="J756" s="121" t="n"/>
      <c r="K756" s="121" t="n"/>
      <c r="L756" s="121" t="n"/>
      <c r="M756" s="121" t="n"/>
    </row>
    <row r="757" ht="18.75" customHeight="1" s="215">
      <c r="A757" s="152" t="n"/>
      <c r="B757" s="149" t="n">
        <v>740</v>
      </c>
      <c r="C757" s="223" t="inlineStr">
        <is>
          <t>NFF-740 – Cliente (Aparto descripcion y reserva de restaurante) - modo claro – Aviso de Reseñas Vacías: Icono de estrella gris y texto "Aún no hay reseñas" centrado en color gris oscuro.</t>
        </is>
      </c>
      <c r="D757" s="218" t="n"/>
      <c r="E757" s="153" t="n"/>
      <c r="F757" s="55" t="inlineStr">
        <is>
          <t>x</t>
        </is>
      </c>
      <c r="G757" s="55" t="n"/>
      <c r="H757" s="55" t="n"/>
      <c r="I757" s="56" t="n"/>
      <c r="J757" s="121" t="n"/>
      <c r="K757" s="121" t="n"/>
      <c r="L757" s="121" t="n"/>
      <c r="M757" s="121" t="n"/>
    </row>
    <row r="758" ht="18.75" customHeight="1" s="215">
      <c r="A758" s="152" t="n"/>
      <c r="B758" s="149" t="n">
        <v>741</v>
      </c>
      <c r="C758" s="223" t="inlineStr">
        <is>
          <t>NFF-741 – Cliente (Modal de confirmacionde reserva) - modo claro – Cabecera del modal: Título "Confirmar Pago de Reserva" en azul oscuro bold con un icono de cierre "x" en la esquina superior derecha.</t>
        </is>
      </c>
      <c r="D758" s="218" t="n"/>
      <c r="E758" s="153" t="n"/>
      <c r="F758" s="55" t="inlineStr">
        <is>
          <t>x</t>
        </is>
      </c>
      <c r="G758" s="55" t="n"/>
      <c r="H758" s="55" t="n"/>
      <c r="I758" s="56" t="n"/>
      <c r="J758" s="121" t="n"/>
      <c r="K758" s="121" t="n"/>
      <c r="L758" s="121" t="n"/>
      <c r="M758" s="121" t="n"/>
    </row>
    <row r="759" ht="18.75" customHeight="1" s="215">
      <c r="A759" s="152" t="n"/>
      <c r="B759" s="149" t="n">
        <v>742</v>
      </c>
      <c r="C759" s="223" t="inlineStr">
        <is>
          <t>NFF-742 – Cliente (Modal de confirmacionde reserva) - modo claro – Subtítulo instructivo: Texto "Revise los detalles de su reserva antes de proceder al pago" en gris medio bajo el título principal.</t>
        </is>
      </c>
      <c r="D759" s="218" t="n"/>
      <c r="E759" s="153" t="n"/>
      <c r="F759" s="55" t="inlineStr">
        <is>
          <t>x</t>
        </is>
      </c>
      <c r="G759" s="55" t="n"/>
      <c r="H759" s="55" t="n"/>
      <c r="I759" s="56" t="n"/>
      <c r="J759" s="121" t="n"/>
      <c r="K759" s="121" t="n"/>
      <c r="L759" s="121" t="n"/>
      <c r="M759" s="121" t="n"/>
    </row>
    <row r="760" ht="18.75" customHeight="1" s="215">
      <c r="A760" s="152" t="n"/>
      <c r="B760" s="149" t="n">
        <v>743</v>
      </c>
      <c r="C760" s="223" t="inlineStr">
        <is>
          <t>NFF-743 – Cliente (Modal de confirmacionde reserva) - modo claro – Tarjeta de resumen (Resumen de Reserva): Contenedor interno con fondo beige suave, borde gris tenue y border-radius de 12px.</t>
        </is>
      </c>
      <c r="D760" s="218" t="n"/>
      <c r="E760" s="153" t="n"/>
      <c r="F760" s="55" t="inlineStr">
        <is>
          <t>x</t>
        </is>
      </c>
      <c r="G760" s="55" t="n"/>
      <c r="H760" s="55" t="n"/>
      <c r="I760" s="56" t="n"/>
      <c r="J760" s="121" t="n"/>
      <c r="K760" s="121" t="n"/>
      <c r="L760" s="121" t="n"/>
      <c r="M760" s="121" t="n"/>
    </row>
    <row r="761" ht="18.75" customHeight="1" s="215">
      <c r="A761" s="152" t="n"/>
      <c r="B761" s="149" t="n">
        <v>744</v>
      </c>
      <c r="C761" s="223" t="inlineStr">
        <is>
          <t>NFF-744 – Cliente (Modal de confirmacionde reserva) - modo claro – Título del resumen: Texto "Resumen de Reserva" en azul oscuro con peso bold.</t>
        </is>
      </c>
      <c r="D761" s="218" t="n"/>
      <c r="E761" s="153" t="n"/>
      <c r="F761" s="55" t="inlineStr">
        <is>
          <t>x</t>
        </is>
      </c>
      <c r="G761" s="55" t="n"/>
      <c r="H761" s="55" t="n"/>
      <c r="I761" s="56" t="n"/>
      <c r="J761" s="121" t="n"/>
      <c r="K761" s="121" t="n"/>
      <c r="L761" s="121" t="n"/>
      <c r="M761" s="121" t="n"/>
    </row>
    <row r="762" ht="18.75" customHeight="1" s="215">
      <c r="A762" s="152" t="n"/>
      <c r="B762" s="149" t="n">
        <v>745</v>
      </c>
      <c r="C762" s="223" t="inlineStr">
        <is>
          <t>NFF-745 – Cliente (Modal de confirmacionde reserva) - modo claro – Listado de detalles: Etiquetas a la izquierda ("Restaurante:", "Fecha:", etc.) en gris oscuro y valores a la derecha en negro bold.</t>
        </is>
      </c>
      <c r="D762" s="218" t="n"/>
      <c r="E762" s="153" t="n"/>
      <c r="F762" s="55" t="inlineStr">
        <is>
          <t>x</t>
        </is>
      </c>
      <c r="G762" s="55" t="n"/>
      <c r="H762" s="55" t="n"/>
      <c r="I762" s="56" t="n"/>
      <c r="J762" s="121" t="n"/>
      <c r="K762" s="121" t="n"/>
      <c r="L762" s="121" t="n"/>
      <c r="M762" s="121" t="n"/>
    </row>
    <row r="763" ht="18.75" customHeight="1" s="215">
      <c r="A763" s="152" t="n"/>
      <c r="B763" s="149" t="n">
        <v>746</v>
      </c>
      <c r="C763" s="223" t="inlineStr">
        <is>
          <t>NFF-746 – Cliente (Modal de confirmacionde reserva) - modo claro – Campos incluidos en resumen: Restaurante, Fecha, Hora, Comensales y Mesa específica.</t>
        </is>
      </c>
      <c r="D763" s="218" t="n"/>
      <c r="E763" s="153" t="n"/>
      <c r="F763" s="55" t="inlineStr">
        <is>
          <t>x</t>
        </is>
      </c>
      <c r="G763" s="55" t="n"/>
      <c r="H763" s="55" t="n"/>
      <c r="I763" s="56" t="n"/>
      <c r="J763" s="121" t="n"/>
      <c r="K763" s="121" t="n"/>
      <c r="L763" s="121" t="n"/>
      <c r="M763" s="121" t="n"/>
    </row>
    <row r="764" ht="18.75" customHeight="1" s="215">
      <c r="A764" s="152" t="n"/>
      <c r="B764" s="149" t="n">
        <v>747</v>
      </c>
      <c r="C764" s="223" t="inlineStr">
        <is>
          <t>NFF-747 – Cliente (Modal de confirmacionde reserva) - modo claro – Separador visual: Línea horizontal delgada de color gris que divide los detalles del monto total.</t>
        </is>
      </c>
      <c r="D764" s="218" t="n"/>
      <c r="E764" s="153" t="n"/>
      <c r="F764" s="55" t="inlineStr">
        <is>
          <t>x</t>
        </is>
      </c>
      <c r="G764" s="55" t="n"/>
      <c r="H764" s="55" t="n"/>
      <c r="I764" s="56" t="n"/>
      <c r="J764" s="121" t="n"/>
      <c r="K764" s="121" t="n"/>
      <c r="L764" s="121" t="n"/>
      <c r="M764" s="121" t="n"/>
    </row>
    <row r="765" ht="18.75" customHeight="1" s="215">
      <c r="A765" s="152" t="n"/>
      <c r="B765" s="149" t="n">
        <v>748</v>
      </c>
      <c r="C765" s="223" t="inlineStr">
        <is>
          <t>NFF-748 – Cliente (Modal de confirmacionde reserva) - modo claro – Sección de Total: Etiqueta "Total a Pagar:" en azul oscuro bold y monto "$100000.00" en color naranja vibrante con tamaño de fuente grande.</t>
        </is>
      </c>
      <c r="D765" s="218" t="n"/>
      <c r="E765" s="153" t="n"/>
      <c r="F765" s="55" t="inlineStr">
        <is>
          <t>x</t>
        </is>
      </c>
      <c r="G765" s="55" t="n"/>
      <c r="H765" s="55" t="n"/>
      <c r="I765" s="56" t="n"/>
      <c r="J765" s="121" t="n"/>
      <c r="K765" s="121" t="n"/>
      <c r="L765" s="121" t="n"/>
      <c r="M765" s="121" t="n"/>
    </row>
    <row r="766" ht="18.75" customHeight="1" s="215">
      <c r="A766" s="152" t="n"/>
      <c r="B766" s="149" t="n">
        <v>749</v>
      </c>
      <c r="C766" s="223" t="inlineStr">
        <is>
          <t>NFF-749 – Cliente (Modal de confirmacionde reserva) - modo claro – Nota al pie: Texto "* El pago se procesará en la siguiente pantalla" en gris medio y tamaño de fuente pequeño.</t>
        </is>
      </c>
      <c r="D766" s="218" t="n"/>
      <c r="E766" s="153" t="n"/>
      <c r="F766" s="55" t="inlineStr">
        <is>
          <t>x</t>
        </is>
      </c>
      <c r="G766" s="55" t="n"/>
      <c r="H766" s="55" t="n"/>
      <c r="I766" s="56" t="n"/>
      <c r="J766" s="121" t="n"/>
      <c r="K766" s="121" t="n"/>
      <c r="L766" s="121" t="n"/>
      <c r="M766" s="121" t="n"/>
    </row>
    <row r="767" ht="18.75" customHeight="1" s="215">
      <c r="A767" s="152" t="n"/>
      <c r="B767" s="149" t="n">
        <v>750</v>
      </c>
      <c r="C767" s="223" t="inlineStr">
        <is>
          <t>NFF-750 – Cliente (Modal de confirmacionde reserva) - modo claro – Botón "Cancelar": Fondo blanco, borde gris oscuro, texto en gris oscuro y border-radius de 8px.</t>
        </is>
      </c>
      <c r="D767" s="218" t="n"/>
      <c r="E767" s="153" t="n"/>
      <c r="F767" s="55" t="inlineStr">
        <is>
          <t>x</t>
        </is>
      </c>
      <c r="G767" s="55" t="n"/>
      <c r="H767" s="55" t="n"/>
      <c r="I767" s="56" t="n"/>
      <c r="J767" s="121" t="n"/>
      <c r="K767" s="121" t="n"/>
      <c r="L767" s="121" t="n"/>
      <c r="M767" s="121" t="n"/>
    </row>
    <row r="768" ht="18.75" customHeight="1" s="215">
      <c r="A768" s="152" t="n"/>
      <c r="B768" s="149" t="n">
        <v>751</v>
      </c>
      <c r="C768" s="223" t="inlineStr">
        <is>
          <t>NFF-751 – Cliente (Modal de confirmacionde reserva) - modo claro – Botón "Proceder al Pago": Fondo naranja vibrante, texto blanco bold y border-radius de 8px.</t>
        </is>
      </c>
      <c r="D768" s="218" t="n"/>
      <c r="E768" s="153" t="n"/>
      <c r="F768" s="55" t="inlineStr">
        <is>
          <t>x</t>
        </is>
      </c>
      <c r="G768" s="55" t="n"/>
      <c r="H768" s="55" t="n"/>
      <c r="I768" s="56" t="n"/>
      <c r="J768" s="121" t="n"/>
      <c r="K768" s="121" t="n"/>
      <c r="L768" s="121" t="n"/>
      <c r="M768" s="121" t="n"/>
    </row>
    <row r="769" ht="18.75" customHeight="1" s="215">
      <c r="A769" s="152" t="n"/>
      <c r="B769" s="149" t="n">
        <v>752</v>
      </c>
      <c r="C769" s="223" t="inlineStr">
        <is>
          <t>NFF-752 – Cliente (Modal de confirmacionde reserva) - modo claro – Estructura general: Fondo beige muy claro con bordes redondeados y sombra sutil sobre el overlay.</t>
        </is>
      </c>
      <c r="D769" s="218" t="n"/>
      <c r="E769" s="153" t="n"/>
      <c r="F769" s="55" t="inlineStr">
        <is>
          <t>x</t>
        </is>
      </c>
      <c r="G769" s="55" t="n"/>
      <c r="H769" s="55" t="n"/>
      <c r="I769" s="56" t="n"/>
      <c r="J769" s="121" t="n"/>
      <c r="K769" s="121" t="n"/>
      <c r="L769" s="121" t="n"/>
      <c r="M769" s="121" t="n"/>
    </row>
    <row r="770" ht="18.75" customHeight="1" s="215">
      <c r="A770" s="152" t="n"/>
      <c r="B770" s="149" t="n">
        <v>753</v>
      </c>
      <c r="C770" s="223" t="inlineStr">
        <is>
          <t>NFF-753 – Cliente (Modal de confirmacionde reserva) - modo oscuro – Cabecera del modal: Título "Confirmar Pago de Reserva" en blanco puro con peso bold y un icono de cierre "x" en la esquina superior derecha.</t>
        </is>
      </c>
      <c r="D770" s="218" t="n"/>
      <c r="E770" s="153" t="n"/>
      <c r="F770" s="55" t="inlineStr">
        <is>
          <t>x</t>
        </is>
      </c>
      <c r="G770" s="55" t="n"/>
      <c r="H770" s="55" t="n"/>
      <c r="I770" s="56" t="n"/>
      <c r="J770" s="121" t="n"/>
      <c r="K770" s="121" t="n"/>
      <c r="L770" s="121" t="n"/>
      <c r="M770" s="121" t="n"/>
    </row>
    <row r="771" ht="18.75" customHeight="1" s="215">
      <c r="A771" s="152" t="n"/>
      <c r="B771" s="149" t="n">
        <v>754</v>
      </c>
      <c r="C771" s="223" t="inlineStr">
        <is>
          <t>NFF-754 – Cliente (Modal de confirmacionde reserva) - modo oscuro – Subtítulo instructivo: Texto "Revise los detalles de su reserva antes de proceder al pago" en gris claro bajo el título principal.</t>
        </is>
      </c>
      <c r="D771" s="218" t="n"/>
      <c r="E771" s="153" t="n"/>
      <c r="F771" s="55" t="inlineStr">
        <is>
          <t>x</t>
        </is>
      </c>
      <c r="G771" s="55" t="n"/>
      <c r="H771" s="55" t="n"/>
      <c r="I771" s="56" t="n"/>
      <c r="J771" s="121" t="n"/>
      <c r="K771" s="121" t="n"/>
      <c r="L771" s="121" t="n"/>
      <c r="M771" s="121" t="n"/>
    </row>
    <row r="772" ht="18.75" customHeight="1" s="215">
      <c r="A772" s="152" t="n"/>
      <c r="B772" s="149" t="n">
        <v>755</v>
      </c>
      <c r="C772" s="223" t="inlineStr">
        <is>
          <t>NFF-755 – Cliente (Modal de confirmacionde reserva) - modo oscuro – Tarjeta de resumen (Resumen de Reserva): Contenedor interno con fondo negro, borde gris oscuro muy tenue y border-radius de aproximadamente 12px.</t>
        </is>
      </c>
      <c r="D772" s="218" t="n"/>
      <c r="E772" s="153" t="n"/>
      <c r="F772" s="55" t="inlineStr">
        <is>
          <t>x</t>
        </is>
      </c>
      <c r="G772" s="55" t="n"/>
      <c r="H772" s="55" t="n"/>
      <c r="I772" s="56" t="n"/>
      <c r="J772" s="121" t="n"/>
      <c r="K772" s="121" t="n"/>
      <c r="L772" s="121" t="n"/>
      <c r="M772" s="121" t="n"/>
    </row>
    <row r="773" ht="18.75" customHeight="1" s="215">
      <c r="A773" s="152" t="n"/>
      <c r="B773" s="149" t="n">
        <v>756</v>
      </c>
      <c r="C773" s="223" t="inlineStr">
        <is>
          <t>NFF-756 – Cliente (Modal de confirmacionde reserva) - modo oscuro – Título del resumen: Texto "Resumen de Reserva" en blanco con peso bold.</t>
        </is>
      </c>
      <c r="D773" s="218" t="n"/>
      <c r="E773" s="153" t="n"/>
      <c r="F773" s="55" t="inlineStr">
        <is>
          <t>x</t>
        </is>
      </c>
      <c r="G773" s="55" t="n"/>
      <c r="H773" s="55" t="n"/>
      <c r="I773" s="56" t="n"/>
      <c r="J773" s="121" t="n"/>
      <c r="K773" s="121" t="n"/>
      <c r="L773" s="121" t="n"/>
      <c r="M773" s="121" t="n"/>
    </row>
    <row r="774" ht="18.75" customHeight="1" s="215">
      <c r="A774" s="152" t="n"/>
      <c r="B774" s="149" t="n">
        <v>757</v>
      </c>
      <c r="C774" s="223" t="inlineStr">
        <is>
          <t>NFF-757 – Cliente (Modal de confirmacionde reserva) - modo oscuro – Listado de detalles: Etiquetas a la izquierda ("Restaurante:", "Fecha:", etc.) en gris claro y valores a la derecha en blanco puro.</t>
        </is>
      </c>
      <c r="D774" s="218" t="n"/>
      <c r="E774" s="153" t="n"/>
      <c r="F774" s="55" t="inlineStr">
        <is>
          <t>x</t>
        </is>
      </c>
      <c r="G774" s="55" t="n"/>
      <c r="H774" s="55" t="n"/>
      <c r="I774" s="56" t="n"/>
      <c r="J774" s="121" t="n"/>
      <c r="K774" s="121" t="n"/>
      <c r="L774" s="121" t="n"/>
      <c r="M774" s="121" t="n"/>
    </row>
    <row r="775" ht="18.75" customHeight="1" s="215">
      <c r="A775" s="152" t="n"/>
      <c r="B775" s="149" t="n">
        <v>758</v>
      </c>
      <c r="C775" s="223" t="inlineStr">
        <is>
          <t>NFF-758 – Cliente (Modal de confirmacionde reserva) - modo oscuro – Campos incluidos en resumen: Restaurante, Fecha, Hora, Comensales y Mesa específica (incluyendo capacidad).</t>
        </is>
      </c>
      <c r="D775" s="218" t="n"/>
      <c r="E775" s="153" t="n"/>
      <c r="F775" s="55" t="inlineStr">
        <is>
          <t>x</t>
        </is>
      </c>
      <c r="G775" s="55" t="n"/>
      <c r="H775" s="55" t="n"/>
      <c r="I775" s="56" t="n"/>
      <c r="J775" s="121" t="n"/>
      <c r="K775" s="121" t="n"/>
      <c r="L775" s="121" t="n"/>
      <c r="M775" s="121" t="n"/>
    </row>
    <row r="776" ht="18.75" customHeight="1" s="215">
      <c r="A776" s="152" t="n"/>
      <c r="B776" s="149" t="n">
        <v>759</v>
      </c>
      <c r="C776" s="223" t="inlineStr">
        <is>
          <t>NFF-759 – Cliente (Modal de confirmacionde reserva) - modo oscuro – Separador visual: Línea horizontal delgada de color gris oscuro que divide los detalles del monto total.</t>
        </is>
      </c>
      <c r="D776" s="218" t="n"/>
      <c r="E776" s="153" t="n"/>
      <c r="F776" s="55" t="inlineStr">
        <is>
          <t>x</t>
        </is>
      </c>
      <c r="G776" s="55" t="n"/>
      <c r="H776" s="55" t="n"/>
      <c r="I776" s="56" t="n"/>
      <c r="J776" s="121" t="n"/>
      <c r="K776" s="121" t="n"/>
      <c r="L776" s="121" t="n"/>
      <c r="M776" s="121" t="n"/>
    </row>
    <row r="777" ht="18.75" customHeight="1" s="215">
      <c r="A777" s="152" t="n"/>
      <c r="B777" s="149" t="n">
        <v>760</v>
      </c>
      <c r="C777" s="223" t="inlineStr">
        <is>
          <t>NFF-760 – Cliente (Modal de confirmacionde reserva) - modo oscuro – Sección de Total: Etiqueta "Total a Pagar:" en blanco y monto "$100000.00" en color rojo intenso.</t>
        </is>
      </c>
      <c r="D777" s="218" t="n"/>
      <c r="E777" s="153" t="n"/>
      <c r="F777" s="55" t="inlineStr">
        <is>
          <t>x</t>
        </is>
      </c>
      <c r="G777" s="55" t="n"/>
      <c r="H777" s="55" t="n"/>
      <c r="I777" s="56" t="n"/>
      <c r="J777" s="121" t="n"/>
      <c r="K777" s="121" t="n"/>
      <c r="L777" s="121" t="n"/>
      <c r="M777" s="121" t="n"/>
    </row>
    <row r="778" ht="18.75" customHeight="1" s="215">
      <c r="A778" s="152" t="n"/>
      <c r="B778" s="149" t="n">
        <v>761</v>
      </c>
      <c r="C778" s="223" t="inlineStr">
        <is>
          <t>NFF-761 – Cliente (Modal de confirmacionde reserva) - modo oscuro – Nota al pie: Texto "* El pago se procesará en la siguiente pantalla" en gris claro y tamaño de fuente pequeño.</t>
        </is>
      </c>
      <c r="D778" s="218" t="n"/>
      <c r="E778" s="153" t="n"/>
      <c r="F778" s="55" t="inlineStr">
        <is>
          <t>x</t>
        </is>
      </c>
      <c r="G778" s="55" t="n"/>
      <c r="H778" s="55" t="n"/>
      <c r="I778" s="56" t="n"/>
      <c r="J778" s="121" t="n"/>
      <c r="K778" s="121" t="n"/>
      <c r="L778" s="121" t="n"/>
      <c r="M778" s="121" t="n"/>
    </row>
    <row r="779" ht="18.75" customHeight="1" s="215">
      <c r="A779" s="152" t="n"/>
      <c r="B779" s="149" t="n">
        <v>762</v>
      </c>
      <c r="C779" s="223" t="inlineStr">
        <is>
          <t>NFF-762 – Cliente (Modal de confirmacionde reserva) - modo oscuro – Botón "Cancelar": Fondo negro, borde blanco fino, texto en blanco y border-radius de 8px.</t>
        </is>
      </c>
      <c r="D779" s="218" t="n"/>
      <c r="E779" s="153" t="n"/>
      <c r="F779" s="55" t="inlineStr">
        <is>
          <t>x</t>
        </is>
      </c>
      <c r="G779" s="55" t="n"/>
      <c r="H779" s="55" t="n"/>
      <c r="I779" s="56" t="n"/>
      <c r="J779" s="121" t="n"/>
      <c r="K779" s="121" t="n"/>
      <c r="L779" s="121" t="n"/>
      <c r="M779" s="121" t="n"/>
    </row>
    <row r="780" ht="18.75" customHeight="1" s="215">
      <c r="A780" s="152" t="n"/>
      <c r="B780" s="149" t="n">
        <v>763</v>
      </c>
      <c r="C780" s="223" t="inlineStr">
        <is>
          <t>NFF-763 – Cliente (Modal de confirmacionde reserva) - modo oscuro – Botón "Proceder al Pago": Fondo rojo oscuro sólido (#991b1b), texto blanco bold y border-radius de 8px.</t>
        </is>
      </c>
      <c r="D780" s="218" t="n"/>
      <c r="E780" s="153" t="n"/>
      <c r="F780" s="55" t="inlineStr">
        <is>
          <t>x</t>
        </is>
      </c>
      <c r="G780" s="55" t="n"/>
      <c r="H780" s="55" t="n"/>
      <c r="I780" s="56" t="n"/>
      <c r="J780" s="121" t="n"/>
      <c r="K780" s="121" t="n"/>
      <c r="L780" s="121" t="n"/>
      <c r="M780" s="121" t="n"/>
    </row>
    <row r="781" ht="18.75" customHeight="1" s="215">
      <c r="A781" s="152" t="n"/>
      <c r="B781" s="149" t="n">
        <v>764</v>
      </c>
      <c r="C781" s="223" t="inlineStr">
        <is>
          <t>NFF-764 – Cliente (Modal de confirmacionde reserva) - modo oscuro – Estructura general: Fondo gris carbón muy oscuro con bordes redondeados sobre un overlay negro.</t>
        </is>
      </c>
      <c r="D781" s="218" t="n"/>
      <c r="E781" s="153" t="n"/>
      <c r="F781" s="55" t="inlineStr">
        <is>
          <t>x</t>
        </is>
      </c>
      <c r="G781" s="55" t="n"/>
      <c r="H781" s="55" t="n"/>
      <c r="I781" s="56" t="n"/>
      <c r="J781" s="121" t="n"/>
      <c r="K781" s="121" t="n"/>
      <c r="L781" s="121" t="n"/>
      <c r="M781" s="121" t="n"/>
    </row>
    <row r="782" ht="18.75" customHeight="1" s="215">
      <c r="A782" s="152" t="n"/>
      <c r="B782" s="149" t="n">
        <v>765</v>
      </c>
      <c r="C782" s="223" t="inlineStr">
        <is>
          <t>NFF-765 – Cliente (Pasarela de pagos) - modo claro – Fondo general de la página: Color crema o beige muy claro (#f5f5f4 aprox.).</t>
        </is>
      </c>
      <c r="D782" s="218" t="n"/>
      <c r="E782" s="153" t="n"/>
      <c r="F782" s="55" t="inlineStr">
        <is>
          <t>x</t>
        </is>
      </c>
      <c r="G782" s="55" t="n"/>
      <c r="H782" s="55" t="n"/>
      <c r="I782" s="56" t="n"/>
      <c r="J782" s="121" t="n"/>
      <c r="K782" s="121" t="n"/>
      <c r="L782" s="121" t="n"/>
      <c r="M782" s="121" t="n"/>
    </row>
    <row r="783" ht="18.75" customHeight="1" s="215">
      <c r="A783" s="152" t="n"/>
      <c r="B783" s="149" t="n">
        <v>766</v>
      </c>
      <c r="C783" s="223" t="inlineStr">
        <is>
          <t>NFF-766 – Cliente (Pasarela de pagos) - modo claro – Título principal "Completa tu reserva": Texto en azul oscuro profundo, peso bold y fuente sans-serif de gran tamaño.</t>
        </is>
      </c>
      <c r="D783" s="218" t="n"/>
      <c r="E783" s="153" t="n"/>
      <c r="F783" s="55" t="inlineStr">
        <is>
          <t>x</t>
        </is>
      </c>
      <c r="G783" s="55" t="n"/>
      <c r="H783" s="55" t="n"/>
      <c r="I783" s="56" t="n"/>
      <c r="J783" s="121" t="n"/>
      <c r="K783" s="121" t="n"/>
      <c r="L783" s="121" t="n"/>
      <c r="M783" s="121" t="n"/>
    </row>
    <row r="784" ht="18.75" customHeight="1" s="215">
      <c r="A784" s="152" t="n"/>
      <c r="B784" s="149" t="n">
        <v>767</v>
      </c>
      <c r="C784" s="223" t="inlineStr">
        <is>
          <t>NFF-767 – Cliente (Pasarela de pagos) - modo claro – Subtítulo instructivo: Texto "Revisa los detalles y elige tu método de pago" en gris oscuro debajo del título.</t>
        </is>
      </c>
      <c r="D784" s="218" t="n"/>
      <c r="E784" s="153" t="n"/>
      <c r="F784" s="55" t="inlineStr">
        <is>
          <t>x</t>
        </is>
      </c>
      <c r="G784" s="55" t="n"/>
      <c r="H784" s="55" t="n"/>
      <c r="I784" s="56" t="n"/>
      <c r="J784" s="121" t="n"/>
      <c r="K784" s="121" t="n"/>
      <c r="L784" s="121" t="n"/>
      <c r="M784" s="121" t="n"/>
    </row>
    <row r="785" ht="18.75" customHeight="1" s="215">
      <c r="A785" s="152" t="n"/>
      <c r="B785" s="149" t="n">
        <v>768</v>
      </c>
      <c r="C785" s="223" t="inlineStr">
        <is>
          <t>NFF-768 – Cliente (Pasarela de pagos) - modo claro – Tarjeta "Resumen de tu reserva": Fondo blanco, border-radius de 12px y encabezado con un ligero degradado naranja/crema.</t>
        </is>
      </c>
      <c r="D785" s="218" t="n"/>
      <c r="E785" s="153" t="n"/>
      <c r="F785" s="55" t="inlineStr">
        <is>
          <t>x</t>
        </is>
      </c>
      <c r="G785" s="55" t="n"/>
      <c r="H785" s="55" t="n"/>
      <c r="I785" s="56" t="n"/>
      <c r="J785" s="121" t="n"/>
      <c r="K785" s="121" t="n"/>
      <c r="L785" s="121" t="n"/>
      <c r="M785" s="121" t="n"/>
    </row>
    <row r="786" ht="18.75" customHeight="1" s="215">
      <c r="A786" s="152" t="n"/>
      <c r="B786" s="149" t="n">
        <v>769</v>
      </c>
      <c r="C786" s="223" t="inlineStr">
        <is>
          <t>NFF-769 – Cliente (Pasarela de pagos) - modo claro – Detalles del resumen (Restaurante, Mesa, Fecha, Hora, Comensales): Etiquetas en gris y valores en negro con peso bold, organizados en grid.</t>
        </is>
      </c>
      <c r="D786" s="218" t="n"/>
      <c r="E786" s="153" t="n"/>
      <c r="F786" s="55" t="inlineStr">
        <is>
          <t>x</t>
        </is>
      </c>
      <c r="G786" s="55" t="n"/>
      <c r="H786" s="55" t="n"/>
      <c r="I786" s="56" t="n"/>
      <c r="J786" s="121" t="n"/>
      <c r="K786" s="121" t="n"/>
      <c r="L786" s="121" t="n"/>
      <c r="M786" s="121" t="n"/>
    </row>
    <row r="787" ht="18.75" customHeight="1" s="215">
      <c r="A787" s="152" t="n"/>
      <c r="B787" s="149" t="n">
        <v>770</v>
      </c>
      <c r="C787" s="223" t="inlineStr">
        <is>
          <t>NFF-770 – Cliente (Pasarela de pagos) - modo claro – Valor total en resumen: Texto "$X COP" en naranja vibrante y peso bold en la parte inferior de la tarjeta.</t>
        </is>
      </c>
      <c r="D787" s="218" t="n"/>
      <c r="E787" s="153" t="n"/>
      <c r="F787" s="55" t="inlineStr">
        <is>
          <t>x</t>
        </is>
      </c>
      <c r="G787" s="55" t="n"/>
      <c r="H787" s="55" t="n"/>
      <c r="I787" s="56" t="n"/>
      <c r="J787" s="121" t="n"/>
      <c r="K787" s="121" t="n"/>
      <c r="L787" s="121" t="n"/>
      <c r="M787" s="121" t="n"/>
    </row>
    <row r="788" ht="18.75" customHeight="1" s="215">
      <c r="A788" s="152" t="n"/>
      <c r="B788" s="149" t="n">
        <v>771</v>
      </c>
      <c r="C788" s="223" t="inlineStr">
        <is>
          <t>NFF-771 – Cliente (Pasarela de pagos) - modo claro – Tarjeta "Método de pago": Fondo blanco con opciones de selección radial (Radio buttons).</t>
        </is>
      </c>
      <c r="D788" s="218" t="n"/>
      <c r="E788" s="153" t="n"/>
      <c r="F788" s="55" t="inlineStr">
        <is>
          <t>x</t>
        </is>
      </c>
      <c r="G788" s="55" t="n"/>
      <c r="H788" s="55" t="n"/>
      <c r="I788" s="56" t="n"/>
      <c r="J788" s="121" t="n"/>
      <c r="K788" s="121" t="n"/>
      <c r="L788" s="121" t="n"/>
      <c r="M788" s="121" t="n"/>
    </row>
    <row r="789" ht="18.75" customHeight="1" s="215">
      <c r="A789" s="152" t="n"/>
      <c r="B789" s="149" t="n">
        <v>772</v>
      </c>
      <c r="C789" s="223" t="inlineStr">
        <is>
          <t>NFF-772 – Cliente (Pasarela de pagos) - modo claro – Opción seleccionada (Tarjeta): Fondo naranja muy tenue, borde naranja suave y check de color naranja.</t>
        </is>
      </c>
      <c r="D789" s="218" t="n"/>
      <c r="E789" s="153" t="n"/>
      <c r="F789" s="55" t="inlineStr">
        <is>
          <t>x</t>
        </is>
      </c>
      <c r="G789" s="55" t="n"/>
      <c r="H789" s="55" t="n"/>
      <c r="I789" s="56" t="n"/>
      <c r="J789" s="121" t="n"/>
      <c r="K789" s="121" t="n"/>
      <c r="L789" s="121" t="n"/>
      <c r="M789" s="121" t="n"/>
    </row>
    <row r="790" ht="18.75" customHeight="1" s="215">
      <c r="A790" s="152" t="n"/>
      <c r="B790" s="149" t="n">
        <v>773</v>
      </c>
      <c r="C790" s="223" t="inlineStr">
        <is>
          <t>NFF-773 – Cliente (Pasarela de pagos) - modo claro – Tarjeta "Información de la tarjeta": Fondo blanco con campos de entrada (Inputs) para Número, Nombre, Mes, Año y CVC.</t>
        </is>
      </c>
      <c r="D790" s="218" t="n"/>
      <c r="E790" s="153" t="n"/>
      <c r="F790" s="55" t="inlineStr">
        <is>
          <t>x</t>
        </is>
      </c>
      <c r="G790" s="55" t="n"/>
      <c r="H790" s="55" t="n"/>
      <c r="I790" s="56" t="n"/>
      <c r="J790" s="121" t="n"/>
      <c r="K790" s="121" t="n"/>
      <c r="L790" s="121" t="n"/>
      <c r="M790" s="121" t="n"/>
    </row>
    <row r="791" ht="18.75" customHeight="1" s="215">
      <c r="A791" s="152" t="n"/>
      <c r="B791" s="149" t="n">
        <v>774</v>
      </c>
      <c r="C791" s="223" t="inlineStr">
        <is>
          <t>NFF-774 – Cliente (Pasarela de pagos) - modo claro – Cajas de entrada (Inputs): Fondo gris muy claro, bordes redondeados y placeholders en gris tenue.</t>
        </is>
      </c>
      <c r="D791" s="218" t="n"/>
      <c r="E791" s="153" t="n"/>
      <c r="F791" s="55" t="inlineStr">
        <is>
          <t>x</t>
        </is>
      </c>
      <c r="G791" s="55" t="n"/>
      <c r="H791" s="55" t="n"/>
      <c r="I791" s="56" t="n"/>
      <c r="J791" s="121" t="n"/>
      <c r="K791" s="121" t="n"/>
      <c r="L791" s="121" t="n"/>
      <c r="M791" s="121" t="n"/>
    </row>
    <row r="792" ht="18.75" customHeight="1" s="215">
      <c r="A792" s="152" t="n"/>
      <c r="B792" s="149" t="n">
        <v>775</v>
      </c>
      <c r="C792" s="223" t="inlineStr">
        <is>
          <t>NFF-775 – Cliente (Pasarela de pagos) - modo claro – Aviso de seguridad inferior: Bloque con fondo naranja claro, icono de candado y texto "Tu información de pago está encriptada...".</t>
        </is>
      </c>
      <c r="D792" s="218" t="n"/>
      <c r="E792" s="153" t="n"/>
      <c r="F792" s="55" t="inlineStr">
        <is>
          <t>x</t>
        </is>
      </c>
      <c r="G792" s="55" t="n"/>
      <c r="H792" s="55" t="n"/>
      <c r="I792" s="56" t="n"/>
      <c r="J792" s="121" t="n"/>
      <c r="K792" s="121" t="n"/>
      <c r="L792" s="121" t="n"/>
      <c r="M792" s="121" t="n"/>
    </row>
    <row r="793" ht="18.75" customHeight="1" s="215">
      <c r="A793" s="152" t="n"/>
      <c r="B793" s="149" t="n">
        <v>776</v>
      </c>
      <c r="C793" s="223" t="inlineStr">
        <is>
          <t>NFF-776 – Cliente (Pasarela de pagos) - modo claro – Sidebar de pago (Derecha): Bloque flotante con fondo degradado naranja/verde que muestra el monto total "$100.000 COP" en blanco.</t>
        </is>
      </c>
      <c r="D793" s="218" t="n"/>
      <c r="E793" s="153" t="n"/>
      <c r="F793" s="55" t="inlineStr">
        <is>
          <t>x</t>
        </is>
      </c>
      <c r="G793" s="55" t="n"/>
      <c r="H793" s="55" t="n"/>
      <c r="I793" s="56" t="n"/>
      <c r="J793" s="121" t="n"/>
      <c r="K793" s="121" t="n"/>
      <c r="L793" s="121" t="n"/>
      <c r="M793" s="121" t="n"/>
    </row>
    <row r="794" ht="18.75" customHeight="1" s="215">
      <c r="A794" s="152" t="n"/>
      <c r="B794" s="149" t="n">
        <v>777</v>
      </c>
      <c r="C794" s="223" t="inlineStr">
        <is>
          <t>NFF-777 – Cliente (Pasarela de pagos) - modo claro – Botón "Confirmar pago": Fondo beige/gris claro con icono de flecha, texto en gris oscuro y border-radius de 8px.</t>
        </is>
      </c>
      <c r="D794" s="218" t="n"/>
      <c r="E794" s="153" t="n"/>
      <c r="F794" s="55" t="inlineStr">
        <is>
          <t>x</t>
        </is>
      </c>
      <c r="G794" s="55" t="n"/>
      <c r="H794" s="55" t="n"/>
      <c r="I794" s="56" t="n"/>
      <c r="J794" s="121" t="n"/>
      <c r="K794" s="121" t="n"/>
      <c r="L794" s="121" t="n"/>
      <c r="M794" s="121" t="n"/>
    </row>
    <row r="795" ht="18.75" customHeight="1" s="215">
      <c r="A795" s="152" t="n"/>
      <c r="B795" s="149" t="n">
        <v>778</v>
      </c>
      <c r="C795" s="223" t="inlineStr">
        <is>
          <t>NFF-778 – Cliente (Pasarela de pagos) - modo claro – Checklist de estado del formulario: Lista de puntos en gris con etiquetas ("Número de tarjeta", "Titular", etc.) debajo del botón de confirmación.</t>
        </is>
      </c>
      <c r="D795" s="218" t="n"/>
      <c r="E795" s="153" t="n"/>
      <c r="F795" s="55" t="inlineStr">
        <is>
          <t>x</t>
        </is>
      </c>
      <c r="G795" s="55" t="n"/>
      <c r="H795" s="55" t="n"/>
      <c r="I795" s="56" t="n"/>
      <c r="J795" s="121" t="n"/>
      <c r="K795" s="121" t="n"/>
      <c r="L795" s="121" t="n"/>
      <c r="M795" s="121" t="n"/>
    </row>
    <row r="796" ht="18.75" customHeight="1" s="215">
      <c r="A796" s="152" t="n"/>
      <c r="B796" s="149" t="n">
        <v>779</v>
      </c>
      <c r="C796" s="223" t="inlineStr">
        <is>
          <t>NFF-779 – Cliente (Pasarela de pagos) - modo oscuro – Fondo general de la página: Color negro sólido o gris carbón muy oscuro (#0a0a0a).</t>
        </is>
      </c>
      <c r="D796" s="218" t="n"/>
      <c r="E796" s="153" t="n"/>
      <c r="F796" s="55" t="inlineStr">
        <is>
          <t>x</t>
        </is>
      </c>
      <c r="G796" s="55" t="n"/>
      <c r="H796" s="55" t="n"/>
      <c r="I796" s="56" t="n"/>
      <c r="J796" s="121" t="n"/>
      <c r="K796" s="121" t="n"/>
      <c r="L796" s="121" t="n"/>
      <c r="M796" s="121" t="n"/>
    </row>
    <row r="797" ht="18.75" customHeight="1" s="215">
      <c r="A797" s="152" t="n"/>
      <c r="B797" s="149" t="n">
        <v>780</v>
      </c>
      <c r="C797" s="223" t="inlineStr">
        <is>
          <t>NFF-780 – Cliente (Pasarela de pagos) - modo oscuro – Título principal "Completa tu reserva": Texto en blanco puro, peso bold y fuente sans-serif de gran tamaño.</t>
        </is>
      </c>
      <c r="D797" s="218" t="n"/>
      <c r="E797" s="153" t="n"/>
      <c r="F797" s="55" t="inlineStr">
        <is>
          <t>x</t>
        </is>
      </c>
      <c r="G797" s="55" t="n"/>
      <c r="H797" s="55" t="n"/>
      <c r="I797" s="56" t="n"/>
      <c r="J797" s="121" t="n"/>
      <c r="K797" s="121" t="n"/>
      <c r="L797" s="121" t="n"/>
      <c r="M797" s="121" t="n"/>
    </row>
    <row r="798" ht="18.75" customHeight="1" s="215">
      <c r="A798" s="152" t="n"/>
      <c r="B798" s="149" t="n">
        <v>781</v>
      </c>
      <c r="C798" s="223" t="inlineStr">
        <is>
          <t>NFF-781 – Cliente (Pasarela de pagos) - modo oscuro – Subtítulo instructivo: Texto en gris claro debajo del título ("Revisa los detalles y elige tu método de pago").</t>
        </is>
      </c>
      <c r="D798" s="218" t="n"/>
      <c r="E798" s="153" t="n"/>
      <c r="F798" s="55" t="inlineStr">
        <is>
          <t>x</t>
        </is>
      </c>
      <c r="G798" s="55" t="n"/>
      <c r="H798" s="55" t="n"/>
      <c r="I798" s="56" t="n"/>
      <c r="J798" s="121" t="n"/>
      <c r="K798" s="121" t="n"/>
      <c r="L798" s="121" t="n"/>
      <c r="M798" s="121" t="n"/>
    </row>
    <row r="799" ht="18.75" customHeight="1" s="215">
      <c r="A799" s="152" t="n"/>
      <c r="B799" s="149" t="n">
        <v>782</v>
      </c>
      <c r="C799" s="223" t="inlineStr">
        <is>
          <t>NFF-782 – Cliente (Pasarela de pagos) - modo oscuro – Tarjeta "Resumen de tu reserva": Fondo gris muy oscuro, border-radius de 12px y un degradado sutil en la parte superior (tonos ocres/rojos).</t>
        </is>
      </c>
      <c r="D799" s="218" t="n"/>
      <c r="E799" s="153" t="n"/>
      <c r="F799" s="55" t="inlineStr">
        <is>
          <t>x</t>
        </is>
      </c>
      <c r="G799" s="55" t="n"/>
      <c r="H799" s="55" t="n"/>
      <c r="I799" s="56" t="n"/>
      <c r="J799" s="121" t="n"/>
      <c r="K799" s="121" t="n"/>
      <c r="L799" s="121" t="n"/>
      <c r="M799" s="121" t="n"/>
    </row>
    <row r="800" ht="18.75" customHeight="1" s="215">
      <c r="A800" s="152" t="n"/>
      <c r="B800" s="149" t="n">
        <v>783</v>
      </c>
      <c r="C800" s="223" t="inlineStr">
        <is>
          <t>NFF-784 – Cliente (Pasarela de pagos) - modo oscuro – Valor total en resumen: Texto "$100.000 COP" en color rojo intenso y peso bold.</t>
        </is>
      </c>
      <c r="D800" s="218" t="n"/>
      <c r="E800" s="153" t="n"/>
      <c r="F800" s="55" t="inlineStr">
        <is>
          <t>x</t>
        </is>
      </c>
      <c r="G800" s="55" t="n"/>
      <c r="H800" s="55" t="n"/>
      <c r="I800" s="56" t="n"/>
      <c r="J800" s="121" t="n"/>
      <c r="K800" s="121" t="n"/>
      <c r="L800" s="121" t="n"/>
      <c r="M800" s="121" t="n"/>
    </row>
    <row r="801" ht="18.75" customHeight="1" s="215">
      <c r="A801" s="152" t="n"/>
      <c r="B801" s="149" t="n">
        <v>784</v>
      </c>
      <c r="C801" s="223" t="n"/>
      <c r="D801" s="218" t="n"/>
      <c r="E801" s="153" t="n"/>
      <c r="F801" s="55" t="n"/>
      <c r="G801" s="55" t="n"/>
      <c r="H801" s="55" t="n"/>
      <c r="I801" s="56" t="n"/>
      <c r="J801" s="121" t="n"/>
      <c r="K801" s="121" t="n"/>
      <c r="L801" s="121" t="n"/>
      <c r="M801" s="121" t="n"/>
    </row>
    <row r="802" ht="18.75" customHeight="1" s="215">
      <c r="A802" s="152" t="n"/>
      <c r="B802" s="149" t="n">
        <v>785</v>
      </c>
      <c r="C802" s="223" t="inlineStr">
        <is>
          <t>NFF-785 – Cliente (Pasarela de pagos) - modo oscuro – Tarjeta "Método de pago": Fondo gris oscuro con opciones de selección radial; la opción seleccionada tiene un borde y check rojo.</t>
        </is>
      </c>
      <c r="D802" s="218" t="n"/>
      <c r="E802" s="153" t="n"/>
      <c r="F802" s="55" t="inlineStr">
        <is>
          <t>x</t>
        </is>
      </c>
      <c r="G802" s="55" t="n"/>
      <c r="H802" s="55" t="n"/>
      <c r="I802" s="56" t="n"/>
      <c r="J802" s="121" t="n"/>
      <c r="K802" s="121" t="n"/>
      <c r="L802" s="121" t="n"/>
      <c r="M802" s="121" t="n"/>
    </row>
    <row r="803" ht="18.75" customHeight="1" s="215">
      <c r="A803" s="152" t="n"/>
      <c r="B803" s="149" t="n">
        <v>786</v>
      </c>
      <c r="C803" s="223" t="inlineStr">
        <is>
          <t>NFF-786 – Cliente (Pasarela de pagos) - modo oscuro – Tarjeta "Información de la tarjeta": Fondo gris muy oscuro con campos de entrada (Inputs) integrados.</t>
        </is>
      </c>
      <c r="D803" s="218" t="n"/>
      <c r="E803" s="153" t="n"/>
      <c r="F803" s="55" t="inlineStr">
        <is>
          <t>x</t>
        </is>
      </c>
      <c r="G803" s="55" t="n"/>
      <c r="H803" s="55" t="n"/>
      <c r="I803" s="56" t="n"/>
      <c r="J803" s="121" t="n"/>
      <c r="K803" s="121" t="n"/>
      <c r="L803" s="121" t="n"/>
      <c r="M803" s="121" t="n"/>
    </row>
    <row r="804" ht="18.75" customHeight="1" s="215">
      <c r="A804" s="152" t="n"/>
      <c r="B804" s="149" t="n">
        <v>787</v>
      </c>
      <c r="C804" s="223" t="inlineStr">
        <is>
          <t>NFF-787 – Cliente (Pasarela de pagos) - modo oscuro – Cajas de entrada (Inputs): Fondo negro sólido, bordes gris oscuro sutiles y texto/placeholders en gris claro.</t>
        </is>
      </c>
      <c r="D804" s="218" t="n"/>
      <c r="E804" s="153" t="n"/>
      <c r="F804" s="55" t="inlineStr">
        <is>
          <t>x</t>
        </is>
      </c>
      <c r="G804" s="55" t="n"/>
      <c r="H804" s="55" t="n"/>
      <c r="I804" s="56" t="n"/>
      <c r="J804" s="121" t="n"/>
      <c r="K804" s="121" t="n"/>
      <c r="L804" s="121" t="n"/>
      <c r="M804" s="121" t="n"/>
    </row>
    <row r="805" ht="18.75" customHeight="1" s="215">
      <c r="A805" s="152" t="n"/>
      <c r="B805" s="149" t="n">
        <v>788</v>
      </c>
      <c r="C805" s="223" t="inlineStr">
        <is>
          <t>NFF-788 – Cliente (Pasarela de pagos) - modo oscuro – Aviso de seguridad inferior: Bloque con fondo rojo muy oscuro, icono de candado y texto de encriptación en gris claro.</t>
        </is>
      </c>
      <c r="D805" s="218" t="n"/>
      <c r="E805" s="153" t="n"/>
      <c r="F805" s="55" t="inlineStr">
        <is>
          <t>x</t>
        </is>
      </c>
      <c r="G805" s="55" t="n"/>
      <c r="H805" s="55" t="n"/>
      <c r="I805" s="56" t="n"/>
      <c r="J805" s="121" t="n"/>
      <c r="K805" s="121" t="n"/>
      <c r="L805" s="121" t="n"/>
      <c r="M805" s="121" t="n"/>
    </row>
    <row r="806" ht="18.75" customHeight="1" s="215">
      <c r="A806" s="152" t="n"/>
      <c r="B806" s="149" t="n">
        <v>789</v>
      </c>
      <c r="C806" s="223" t="inlineStr">
        <is>
          <t>NFF-789 – Cliente (Pasarela de pagos) - modo oscuro – Sidebar de pago (Derecha): Bloque con degradado de rojo oscuro a granate que destaca el monto total "$100.000 COP" en blanco.</t>
        </is>
      </c>
      <c r="D806" s="218" t="n"/>
      <c r="E806" s="153" t="n"/>
      <c r="F806" s="55" t="inlineStr">
        <is>
          <t>x</t>
        </is>
      </c>
      <c r="G806" s="55" t="n"/>
      <c r="H806" s="55" t="n"/>
      <c r="I806" s="56" t="n"/>
      <c r="J806" s="121" t="n"/>
      <c r="K806" s="121" t="n"/>
      <c r="L806" s="121" t="n"/>
      <c r="M806" s="121" t="n"/>
    </row>
    <row r="807" ht="18.75" customHeight="1" s="215">
      <c r="A807" s="152" t="n"/>
      <c r="B807" s="149" t="n">
        <v>790</v>
      </c>
      <c r="C807" s="223" t="inlineStr">
        <is>
          <t>NFF-790 – Cliente (Pasarela de pagos) - modo oscuro – Botón "Confirmar pago": Fondo gris oscuro con icono de flecha, texto en gris claro y border-radius de 8px.</t>
        </is>
      </c>
      <c r="D807" s="218" t="n"/>
      <c r="E807" s="153" t="n"/>
      <c r="F807" s="55" t="inlineStr">
        <is>
          <t>x</t>
        </is>
      </c>
      <c r="G807" s="55" t="n"/>
      <c r="H807" s="55" t="n"/>
      <c r="I807" s="56" t="n"/>
      <c r="J807" s="121" t="n"/>
      <c r="K807" s="121" t="n"/>
      <c r="L807" s="121" t="n"/>
      <c r="M807" s="121" t="n"/>
    </row>
    <row r="808" ht="18.75" customHeight="1" s="215">
      <c r="A808" s="152" t="n"/>
      <c r="B808" s="149" t="n">
        <v>791</v>
      </c>
      <c r="C808" s="223" t="inlineStr">
        <is>
          <t>NFF-791 – Cliente (Pasarela de pagos) - modo oscuro – Checklist de estado del formulario: Lista de puntos grises con etiquetas ("Número de tarjeta", "Titular", etc.) debajo del botón de confirmación.</t>
        </is>
      </c>
      <c r="D808" s="218" t="n"/>
      <c r="E808" s="153" t="n"/>
      <c r="F808" s="55" t="inlineStr">
        <is>
          <t>x</t>
        </is>
      </c>
      <c r="G808" s="55" t="n"/>
      <c r="H808" s="55" t="n"/>
      <c r="I808" s="56" t="n"/>
      <c r="J808" s="121" t="n"/>
      <c r="K808" s="121" t="n"/>
      <c r="L808" s="121" t="n"/>
      <c r="M808" s="121" t="n"/>
    </row>
    <row r="809" ht="18.75" customHeight="1" s="215">
      <c r="A809" s="152" t="n"/>
      <c r="B809" s="149" t="n">
        <v>792</v>
      </c>
      <c r="C809" s="223" t="inlineStr">
        <is>
          <t>NFF-792 – Cliente (Centro de ayuda) - modo oscuro – Fondo general de la página: Color negro sólido o gris carbón muy oscuro (#0a0a0a).</t>
        </is>
      </c>
      <c r="D809" s="218" t="n"/>
      <c r="E809" s="153" t="n"/>
      <c r="F809" s="55" t="inlineStr">
        <is>
          <t>x</t>
        </is>
      </c>
      <c r="G809" s="55" t="n"/>
      <c r="H809" s="55" t="n"/>
      <c r="I809" s="56" t="n"/>
      <c r="J809" s="121" t="n"/>
      <c r="K809" s="121" t="n"/>
      <c r="L809" s="121" t="n"/>
      <c r="M809" s="121" t="n"/>
    </row>
    <row r="810" ht="18.75" customHeight="1" s="215">
      <c r="A810" s="152" t="n"/>
      <c r="B810" s="149" t="n">
        <v>793</v>
      </c>
      <c r="C810" s="223" t="inlineStr">
        <is>
          <t>NFF-793 – Cliente (Centro de ayuda) - modo oscuro – Títulos principales: Texto en blanco puro, peso bold y fuente sans-serif de gran tamaño.</t>
        </is>
      </c>
      <c r="D810" s="218" t="n"/>
      <c r="E810" s="153" t="n"/>
      <c r="F810" s="55" t="inlineStr">
        <is>
          <t>x</t>
        </is>
      </c>
      <c r="G810" s="55" t="n"/>
      <c r="H810" s="55" t="n"/>
      <c r="I810" s="56" t="n"/>
      <c r="J810" s="121" t="n"/>
      <c r="K810" s="121" t="n"/>
      <c r="L810" s="121" t="n"/>
      <c r="M810" s="121" t="n"/>
    </row>
    <row r="811" ht="18.75" customHeight="1" s="215">
      <c r="A811" s="152" t="n"/>
      <c r="B811" s="149" t="n">
        <v>794</v>
      </c>
      <c r="C811" s="223" t="inlineStr">
        <is>
          <t>NFF-794 – Cliente (Centro de ayuda) - modo oscuro – Subtítulos e instrucciones: Texto en gris claro debajo de los títulos principales.</t>
        </is>
      </c>
      <c r="D811" s="218" t="n"/>
      <c r="E811" s="153" t="n"/>
      <c r="F811" s="55" t="inlineStr">
        <is>
          <t>x</t>
        </is>
      </c>
      <c r="G811" s="55" t="n"/>
      <c r="H811" s="55" t="n"/>
      <c r="I811" s="56" t="n"/>
      <c r="J811" s="121" t="n"/>
      <c r="K811" s="121" t="n"/>
      <c r="L811" s="121" t="n"/>
      <c r="M811" s="121" t="n"/>
    </row>
    <row r="812" ht="18.75" customHeight="1" s="215">
      <c r="A812" s="152" t="n"/>
      <c r="B812" s="149" t="n">
        <v>795</v>
      </c>
      <c r="C812" s="223" t="inlineStr">
        <is>
          <t>NFF-795 – Cliente (Centro de ayuda) - modo oscuro – Contenedores de información: Fondo gris muy oscuro, border-radius de 12px y degradados sutiles en tonos ocres/rojos.</t>
        </is>
      </c>
      <c r="D812" s="218" t="n"/>
      <c r="E812" s="153" t="n"/>
      <c r="F812" s="55" t="inlineStr">
        <is>
          <t>x</t>
        </is>
      </c>
      <c r="G812" s="55" t="n"/>
      <c r="H812" s="55" t="n"/>
      <c r="I812" s="56" t="n"/>
      <c r="J812" s="121" t="n"/>
      <c r="K812" s="121" t="n"/>
      <c r="L812" s="121" t="n"/>
      <c r="M812" s="121" t="n"/>
    </row>
    <row r="813" ht="18.75" customHeight="1" s="215">
      <c r="A813" s="152" t="n"/>
      <c r="B813" s="149" t="n">
        <v>796</v>
      </c>
      <c r="C813" s="223" t="inlineStr">
        <is>
          <t>NFF-796 – Cliente (Centro de ayuda) - modo oscuro – Detalles y etiquetas: Etiquetas en gris claro y valores en blanco con peso bold.</t>
        </is>
      </c>
      <c r="D813" s="218" t="n"/>
      <c r="E813" s="153" t="n"/>
      <c r="F813" s="55" t="inlineStr">
        <is>
          <t>x</t>
        </is>
      </c>
      <c r="G813" s="55" t="n"/>
      <c r="H813" s="55" t="n"/>
      <c r="I813" s="56" t="n"/>
      <c r="J813" s="121" t="n"/>
      <c r="K813" s="121" t="n"/>
      <c r="L813" s="121" t="n"/>
      <c r="M813" s="121" t="n"/>
    </row>
    <row r="814" ht="18.75" customHeight="1" s="215">
      <c r="A814" s="152" t="n"/>
      <c r="B814" s="149" t="n">
        <v>797</v>
      </c>
      <c r="C814" s="223" t="inlineStr">
        <is>
          <t>NFF-797 – Cliente (Centro de ayuda) - modo oscuro – Resaltado de valores críticos: Texto de montos o totales en color rojo intenso y peso bold.</t>
        </is>
      </c>
      <c r="D814" s="218" t="n"/>
      <c r="E814" s="153" t="n"/>
      <c r="F814" s="55" t="inlineStr">
        <is>
          <t>x</t>
        </is>
      </c>
      <c r="G814" s="55" t="n"/>
      <c r="H814" s="55" t="n"/>
      <c r="I814" s="56" t="n"/>
      <c r="J814" s="121" t="n"/>
      <c r="K814" s="121" t="n"/>
      <c r="L814" s="121" t="n"/>
      <c r="M814" s="121" t="n"/>
    </row>
    <row r="815" ht="18.75" customHeight="1" s="215">
      <c r="A815" s="152" t="n"/>
      <c r="B815" s="149" t="n">
        <v>798</v>
      </c>
      <c r="C815" s="223" t="inlineStr">
        <is>
          <t>NFF-798 – Cliente (Centro de ayuda) - modo oscuro – Elementos de selección: Fondo gris oscuro con bordes y checks en color rojo para la opción seleccionada.</t>
        </is>
      </c>
      <c r="D815" s="218" t="n"/>
      <c r="E815" s="153" t="n"/>
      <c r="F815" s="55" t="inlineStr">
        <is>
          <t>x</t>
        </is>
      </c>
      <c r="G815" s="55" t="n"/>
      <c r="H815" s="55" t="n"/>
      <c r="I815" s="56" t="n"/>
      <c r="J815" s="121" t="n"/>
      <c r="K815" s="121" t="n"/>
      <c r="L815" s="121" t="n"/>
      <c r="M815" s="121" t="n"/>
    </row>
    <row r="816" ht="18.75" customHeight="1" s="215">
      <c r="A816" s="152" t="n"/>
      <c r="B816" s="149" t="n">
        <v>799</v>
      </c>
      <c r="C816" s="223" t="inlineStr">
        <is>
          <t>NFF-799 – Cliente (Centro de ayuda) - modo oscuro – Campos de entrada (Inputs): Fondo negro sólido, bordes gris oscuro sutiles y texto/placeholders en gris claro.</t>
        </is>
      </c>
      <c r="D816" s="218" t="n"/>
      <c r="E816" s="153" t="n"/>
      <c r="F816" s="55" t="inlineStr">
        <is>
          <t>x</t>
        </is>
      </c>
      <c r="G816" s="55" t="n"/>
      <c r="H816" s="55" t="n"/>
      <c r="I816" s="56" t="n"/>
      <c r="J816" s="121" t="n"/>
      <c r="K816" s="121" t="n"/>
      <c r="L816" s="121" t="n"/>
      <c r="M816" s="121" t="n"/>
    </row>
    <row r="817" ht="18.75" customHeight="1" s="215">
      <c r="A817" s="152" t="n"/>
      <c r="B817" s="149" t="n">
        <v>800</v>
      </c>
      <c r="C817" s="223" t="inlineStr">
        <is>
          <t>NFF-800 – Cliente (Centro de ayuda) - modo oscuro – Bloques de seguridad: Fondo rojo muy oscuro con iconos de candado y texto en gris claro.</t>
        </is>
      </c>
      <c r="D817" s="218" t="n"/>
      <c r="E817" s="153" t="n"/>
      <c r="F817" s="55" t="inlineStr">
        <is>
          <t>x</t>
        </is>
      </c>
      <c r="G817" s="55" t="n"/>
      <c r="H817" s="55" t="n"/>
      <c r="I817" s="56" t="n"/>
      <c r="J817" s="121" t="n"/>
      <c r="K817" s="121" t="n"/>
      <c r="L817" s="121" t="n"/>
      <c r="M817" s="121" t="n"/>
    </row>
    <row r="818" ht="18.75" customHeight="1" s="215">
      <c r="A818" s="152" t="n"/>
      <c r="B818" s="149" t="n">
        <v>801</v>
      </c>
      <c r="C818" s="223" t="inlineStr">
        <is>
          <t>NFF-801 – Cliente (Centro de ayuda) - modo oscuro – Barras laterales de acción: Bloques con degradado de rojo oscuro a granate para destacar acciones finales.</t>
        </is>
      </c>
      <c r="D818" s="218" t="n"/>
      <c r="E818" s="153" t="n"/>
      <c r="F818" s="55" t="inlineStr">
        <is>
          <t>x</t>
        </is>
      </c>
      <c r="G818" s="55" t="n"/>
      <c r="H818" s="55" t="n"/>
      <c r="I818" s="56" t="n"/>
      <c r="J818" s="121" t="n"/>
      <c r="K818" s="121" t="n"/>
      <c r="L818" s="121" t="n"/>
      <c r="M818" s="121" t="n"/>
    </row>
    <row r="819" ht="18.75" customHeight="1" s="215">
      <c r="A819" s="152" t="n"/>
      <c r="B819" s="149" t="n">
        <v>803</v>
      </c>
      <c r="C819" s="223" t="inlineStr">
        <is>
          <t>NFF-803 – Cliente (Centro de ayuda) - modo oscuro – Indicadores de estado: Listas de puntos grises con etiquetas descriptivas bajo los botones principales.</t>
        </is>
      </c>
      <c r="D819" s="218" t="n"/>
      <c r="E819" s="153" t="n"/>
      <c r="F819" s="55" t="inlineStr">
        <is>
          <t>x</t>
        </is>
      </c>
      <c r="G819" s="55" t="n"/>
      <c r="H819" s="55" t="n"/>
      <c r="I819" s="56" t="n"/>
      <c r="J819" s="121" t="n"/>
      <c r="K819" s="121" t="n"/>
      <c r="L819" s="121" t="n"/>
      <c r="M819" s="121" t="n"/>
    </row>
    <row r="820" ht="18.75" customHeight="1" s="215">
      <c r="A820" s="152" t="n"/>
      <c r="B820" s="149" t="n"/>
      <c r="C820" s="223" t="n"/>
      <c r="D820" s="218" t="n"/>
      <c r="E820" s="153" t="n"/>
      <c r="F820" s="55" t="n"/>
      <c r="G820" s="55" t="n"/>
      <c r="H820" s="55" t="n"/>
      <c r="I820" s="56" t="n"/>
      <c r="J820" s="121" t="n"/>
      <c r="K820" s="121" t="n"/>
      <c r="L820" s="121" t="n"/>
      <c r="M820" s="121" t="n"/>
    </row>
    <row r="821" ht="18.75" customHeight="1" s="215">
      <c r="A821" s="152" t="n"/>
      <c r="B821" s="149" t="n">
        <v>804</v>
      </c>
      <c r="C821" s="223" t="inlineStr">
        <is>
          <t>NFF-804 – Cliente (Centro de ayuda) - modo claro – Fondo general de la página: Degradado radial suave en tonos crema/beige claro hacia blanco.</t>
        </is>
      </c>
      <c r="D821" s="218" t="n"/>
      <c r="E821" s="153" t="n"/>
      <c r="F821" s="55" t="inlineStr">
        <is>
          <t>x</t>
        </is>
      </c>
      <c r="G821" s="55" t="n"/>
      <c r="H821" s="55" t="n"/>
      <c r="I821" s="56" t="n"/>
      <c r="J821" s="121" t="n"/>
      <c r="K821" s="121" t="n"/>
      <c r="L821" s="121" t="n"/>
      <c r="M821" s="121" t="n"/>
    </row>
    <row r="822" ht="18.75" customHeight="1" s="215">
      <c r="A822" s="152" t="n"/>
      <c r="B822" s="149" t="n">
        <v>805</v>
      </c>
      <c r="C822" s="223" t="inlineStr">
        <is>
          <t>NFF-805 – Cliente (Centro de ayuda) - modo claro – Títulos principales: Texto en color azul marino oscuro (#2d3748) para alto contraste.</t>
        </is>
      </c>
      <c r="D822" s="218" t="n"/>
      <c r="E822" s="153" t="n"/>
      <c r="F822" s="55" t="inlineStr">
        <is>
          <t>x</t>
        </is>
      </c>
      <c r="G822" s="55" t="n"/>
      <c r="H822" s="55" t="n"/>
      <c r="I822" s="56" t="n"/>
      <c r="J822" s="121" t="n"/>
      <c r="K822" s="121" t="n"/>
      <c r="L822" s="121" t="n"/>
      <c r="M822" s="121" t="n"/>
    </row>
    <row r="823" ht="18.75" customHeight="1" s="215">
      <c r="A823" s="152" t="n"/>
      <c r="B823" s="149" t="n">
        <v>806</v>
      </c>
      <c r="C823" s="223" t="inlineStr">
        <is>
          <t>NFF-806 – Cliente (Centro de ayuda) - modo claro – Subtítulos e instrucciones: Texto en gris medio para diferenciar la jerarquía informativa.</t>
        </is>
      </c>
      <c r="D823" s="218" t="n"/>
      <c r="E823" s="153" t="n"/>
      <c r="F823" s="55" t="inlineStr">
        <is>
          <t>x</t>
        </is>
      </c>
      <c r="G823" s="55" t="n"/>
      <c r="H823" s="55" t="n"/>
      <c r="I823" s="56" t="n"/>
      <c r="J823" s="121" t="n"/>
      <c r="K823" s="121" t="n"/>
      <c r="L823" s="121" t="n"/>
      <c r="M823" s="121" t="n"/>
    </row>
    <row r="824" ht="18.75" customHeight="1" s="215">
      <c r="A824" s="152" t="n"/>
      <c r="B824" s="149" t="n">
        <v>807</v>
      </c>
      <c r="C824" s="223" t="inlineStr">
        <is>
          <t>NFF-807 – Cliente (Centro de ayuda) - modo claro – Contenedores de información: Fondo blanco sólido, border-radius de 12px y sombra paralela (drop shadow) sutil.</t>
        </is>
      </c>
      <c r="D824" s="218" t="n"/>
      <c r="E824" s="153" t="n"/>
      <c r="F824" s="55" t="inlineStr">
        <is>
          <t>x</t>
        </is>
      </c>
      <c r="G824" s="55" t="n"/>
      <c r="H824" s="55" t="n"/>
      <c r="I824" s="56" t="n"/>
      <c r="J824" s="121" t="n"/>
      <c r="K824" s="121" t="n"/>
      <c r="L824" s="121" t="n"/>
      <c r="M824" s="121" t="n"/>
    </row>
    <row r="825" ht="18.75" customHeight="1" s="215">
      <c r="A825" s="152" t="n"/>
      <c r="B825" s="149" t="n">
        <v>808</v>
      </c>
      <c r="C825" s="223" t="inlineStr">
        <is>
          <t>NFF-808 – Cliente (Centro de ayuda) - modo claro – Cuerpo de texto: Texto en gris oscuro con interlineado amplio (aprox. 1.5) para legibilidad.</t>
        </is>
      </c>
      <c r="D825" s="218" t="n"/>
      <c r="E825" s="153" t="n"/>
      <c r="F825" s="55" t="inlineStr">
        <is>
          <t>x</t>
        </is>
      </c>
      <c r="G825" s="55" t="n"/>
      <c r="H825" s="55" t="n"/>
      <c r="I825" s="56" t="n"/>
      <c r="J825" s="121" t="n"/>
      <c r="K825" s="121" t="n"/>
      <c r="L825" s="121" t="n"/>
      <c r="M825" s="121" t="n"/>
    </row>
    <row r="826" ht="18.75" customHeight="1" s="215">
      <c r="A826" s="152" t="n"/>
      <c r="B826" s="149" t="n">
        <v>809</v>
      </c>
      <c r="C826" s="223" t="inlineStr">
        <is>
          <t>NFF-809 – Cliente (Centro de ayuda) - modo claro – Barra de navegación (Navbar): Fondo blanco/transparente con elementos alineados a los extremos (Logo e Interacciones).</t>
        </is>
      </c>
      <c r="D826" s="218" t="n"/>
      <c r="E826" s="153" t="n"/>
      <c r="F826" s="55" t="inlineStr">
        <is>
          <t>x</t>
        </is>
      </c>
      <c r="G826" s="55" t="n"/>
      <c r="H826" s="55" t="n"/>
      <c r="I826" s="56" t="n"/>
      <c r="J826" s="121" t="n"/>
      <c r="K826" s="121" t="n"/>
      <c r="L826" s="121" t="n"/>
      <c r="M826" s="121" t="n"/>
    </row>
    <row r="827" ht="18.75" customHeight="1" s="215">
      <c r="A827" s="152" t="n"/>
      <c r="B827" s="149" t="n">
        <v>810</v>
      </c>
      <c r="C827" s="223" t="inlineStr">
        <is>
          <t>NFF-810 – Cliente (Centro de ayuda) - modo claro – Botones de sesión: Botón "Iniciar Sesión" con borde sólido; botón "Registrarse" con fondo verde pastel (#a8c2b1 aprox).</t>
        </is>
      </c>
      <c r="D827" s="218" t="n"/>
      <c r="E827" s="153" t="n"/>
      <c r="F827" s="55" t="inlineStr">
        <is>
          <t>x</t>
        </is>
      </c>
      <c r="G827" s="55" t="n"/>
      <c r="H827" s="55" t="n"/>
      <c r="I827" s="56" t="n"/>
      <c r="J827" s="121" t="n"/>
      <c r="K827" s="121" t="n"/>
      <c r="L827" s="121" t="n"/>
      <c r="M827" s="121" t="n"/>
    </row>
    <row r="828" ht="18.75" customHeight="1" s="215">
      <c r="A828" s="152" t="n"/>
      <c r="B828" s="149" t="n">
        <v>811</v>
      </c>
      <c r="C828" s="223" t="inlineStr">
        <is>
          <t>NFF-811 – Cliente (Centro de ayuda) - modo claro – Selector de tema: Icono de sol/brillo centrado para control de alternancia entre modos (Light/Dark).</t>
        </is>
      </c>
      <c r="D828" s="218" t="n"/>
      <c r="E828" s="153" t="n"/>
      <c r="F828" s="55" t="inlineStr">
        <is>
          <t>x</t>
        </is>
      </c>
      <c r="G828" s="55" t="n"/>
      <c r="H828" s="55" t="n"/>
      <c r="I828" s="56" t="n"/>
      <c r="J828" s="121" t="n"/>
      <c r="K828" s="121" t="n"/>
      <c r="L828" s="121" t="n"/>
      <c r="M828" s="121" t="n"/>
    </row>
    <row r="829" ht="18.75" customHeight="1" s="215">
      <c r="A829" s="152" t="n"/>
      <c r="B829" s="149" t="n">
        <v>812</v>
      </c>
      <c r="C829" s="223" t="inlineStr">
        <is>
          <t>NFF-812 – Cliente (Centro de ayuda) - modo claro – Botón de retorno: Botón "Volver al inicio" con fondo gris muy claro y bordes redondeados (8px).</t>
        </is>
      </c>
      <c r="D829" s="218" t="n"/>
      <c r="E829" s="153" t="n"/>
      <c r="F829" s="55" t="inlineStr">
        <is>
          <t>x</t>
        </is>
      </c>
      <c r="G829" s="55" t="n"/>
      <c r="H829" s="55" t="n"/>
      <c r="I829" s="56" t="n"/>
      <c r="J829" s="121" t="n"/>
      <c r="K829" s="121" t="n"/>
      <c r="L829" s="121" t="n"/>
      <c r="M829" s="121" t="n"/>
    </row>
    <row r="830" ht="18.75" customHeight="1" s="215">
      <c r="A830" s="152" t="n"/>
      <c r="B830" s="149" t="n">
        <v>813</v>
      </c>
      <c r="C830" s="223" t="inlineStr">
        <is>
          <t>NFF-813 – Cliente (Centro de ayuda) - modo claro – Efectos decorativos: Partículas mínimas dispersas en el fondo para añadir profundidad visual.</t>
        </is>
      </c>
      <c r="D830" s="218" t="n"/>
      <c r="E830" s="153" t="n"/>
      <c r="F830" s="55" t="inlineStr">
        <is>
          <t>x</t>
        </is>
      </c>
      <c r="G830" s="55" t="n"/>
      <c r="H830" s="55" t="n"/>
      <c r="I830" s="56" t="n"/>
      <c r="J830" s="121" t="n"/>
      <c r="K830" s="121" t="n"/>
      <c r="L830" s="121" t="n"/>
      <c r="M830" s="121" t="n"/>
    </row>
    <row r="831" ht="18.75" customHeight="1" s="215">
      <c r="A831" s="152" t="n"/>
      <c r="B831" s="149" t="n">
        <v>814</v>
      </c>
      <c r="C831" s="223" t="inlineStr">
        <is>
          <t>NFF-814 – Cliente (Contáctanos) - modo claro – Fondo de la página: Degradado radial suave en tonos beige/crema claro hacia blanco.</t>
        </is>
      </c>
      <c r="D831" s="218" t="n"/>
      <c r="E831" s="153" t="n"/>
      <c r="F831" s="55" t="inlineStr">
        <is>
          <t>x</t>
        </is>
      </c>
      <c r="G831" s="55" t="n"/>
      <c r="H831" s="55" t="n"/>
      <c r="I831" s="56" t="n"/>
      <c r="J831" s="121" t="n"/>
      <c r="K831" s="121" t="n"/>
      <c r="L831" s="121" t="n"/>
      <c r="M831" s="121" t="n"/>
    </row>
    <row r="832" ht="18.75" customHeight="1" s="215">
      <c r="A832" s="152" t="n"/>
      <c r="B832" s="149" t="n">
        <v>815</v>
      </c>
      <c r="C832" s="223" t="inlineStr">
        <is>
          <t>NFF-815 – Cliente (Contáctanos) - modo claro – Contenedor del Formulario: Fondo blanco sólido, border-radius de 12px y sombra sutil (drop shadow) para efecto de elevación.</t>
        </is>
      </c>
      <c r="D832" s="218" t="n"/>
      <c r="E832" s="153" t="n"/>
      <c r="F832" s="55" t="inlineStr">
        <is>
          <t>x</t>
        </is>
      </c>
      <c r="G832" s="55" t="n"/>
      <c r="H832" s="55" t="n"/>
      <c r="I832" s="56" t="n"/>
      <c r="J832" s="121" t="n"/>
      <c r="K832" s="121" t="n"/>
      <c r="L832" s="121" t="n"/>
      <c r="M832" s="121" t="n"/>
    </row>
    <row r="833" ht="18.75" customHeight="1" s="215">
      <c r="A833" s="152" t="n"/>
      <c r="B833" s="149" t="n">
        <v>816</v>
      </c>
      <c r="C833" s="223" t="inlineStr">
        <is>
          <t>NFF-816 – Cliente (Contáctanos) - modo claro – Campos de Entrada (Inputs/Textarea): Fondo gris muy claro, bordes finos en gris suave y texto de ejemplo (placeholder) en gris medio.</t>
        </is>
      </c>
      <c r="D833" s="218" t="n"/>
      <c r="E833" s="153" t="n"/>
      <c r="F833" s="55" t="inlineStr">
        <is>
          <t>x</t>
        </is>
      </c>
      <c r="G833" s="55" t="n"/>
      <c r="H833" s="55" t="n"/>
      <c r="I833" s="56" t="n"/>
      <c r="J833" s="121" t="n"/>
      <c r="K833" s="121" t="n"/>
      <c r="L833" s="121" t="n"/>
      <c r="M833" s="121" t="n"/>
    </row>
    <row r="834" ht="18.75" customHeight="1" s="215">
      <c r="A834" s="152" t="n"/>
      <c r="B834" s="149" t="n">
        <v>817</v>
      </c>
      <c r="C834" s="223" t="inlineStr">
        <is>
          <t>NFF-817 – Cliente (Contáctanos) - modo claro – Tipografía de Etiquetas: Texto en color azul marino oscuro (#2d3748), peso bold y alineación superior a los campos.</t>
        </is>
      </c>
      <c r="D834" s="218" t="n"/>
      <c r="E834" s="153" t="n"/>
      <c r="F834" s="55" t="inlineStr">
        <is>
          <t>x</t>
        </is>
      </c>
      <c r="G834" s="55" t="n"/>
      <c r="H834" s="55" t="n"/>
      <c r="I834" s="56" t="n"/>
      <c r="J834" s="121" t="n"/>
      <c r="K834" s="121" t="n"/>
      <c r="L834" s="121" t="n"/>
      <c r="M834" s="121" t="n"/>
    </row>
    <row r="835" ht="18.75" customHeight="1" s="215">
      <c r="A835" s="152" t="n"/>
      <c r="B835" s="149" t="n">
        <v>818</v>
      </c>
      <c r="C835" s="223" t="inlineStr">
        <is>
          <t>NFF-818 – Cliente (Contáctanos) - modo claro – Botón de Acción Principal: Fondo naranja vibrante (#ff7043 aprox.) con texto en blanco y bordes redondeados (8px).</t>
        </is>
      </c>
      <c r="D835" s="218" t="n"/>
      <c r="E835" s="153" t="n"/>
      <c r="F835" s="55" t="inlineStr">
        <is>
          <t>x</t>
        </is>
      </c>
      <c r="G835" s="55" t="n"/>
      <c r="H835" s="55" t="n"/>
      <c r="I835" s="56" t="n"/>
      <c r="J835" s="121" t="n"/>
      <c r="K835" s="121" t="n"/>
      <c r="L835" s="121" t="n"/>
      <c r="M835" s="121" t="n"/>
    </row>
    <row r="836" ht="18.75" customHeight="1" s="215">
      <c r="A836" s="152" t="n"/>
      <c r="B836" s="149" t="n">
        <v>819</v>
      </c>
      <c r="C836" s="223" t="inlineStr">
        <is>
          <t>NFF-819 – Cliente (Contáctanos) - modo claro – Iconografía en Inputs: Uso de iconos lineales (ej. sobre de correo) en color verde esmeralda suave dentro de los campos específicos.</t>
        </is>
      </c>
      <c r="D836" s="218" t="n"/>
      <c r="E836" s="153" t="n"/>
      <c r="F836" s="55" t="inlineStr">
        <is>
          <t>x</t>
        </is>
      </c>
      <c r="G836" s="55" t="n"/>
      <c r="H836" s="55" t="n"/>
      <c r="I836" s="56" t="n"/>
      <c r="J836" s="121" t="n"/>
      <c r="K836" s="121" t="n"/>
      <c r="L836" s="121" t="n"/>
      <c r="M836" s="121" t="n"/>
    </row>
    <row r="837" ht="18.75" customHeight="1" s="215">
      <c r="A837" s="152" t="n"/>
      <c r="B837" s="149" t="n">
        <v>821</v>
      </c>
      <c r="C837" s="223" t="inlineStr">
        <is>
          <t>NFF-821 – Cliente (Contáctanos) - modo claro – Distribución de Campos: Diseño de dos columnas para datos personales (Nombre/Correo) y una columna completa para Asunto y Mensaje.</t>
        </is>
      </c>
      <c r="D837" s="218" t="n"/>
      <c r="E837" s="153" t="n"/>
      <c r="F837" s="55" t="inlineStr">
        <is>
          <t>x</t>
        </is>
      </c>
      <c r="G837" s="55" t="n"/>
      <c r="H837" s="55" t="n"/>
      <c r="I837" s="56" t="n"/>
      <c r="J837" s="121" t="n"/>
      <c r="K837" s="121" t="n"/>
      <c r="L837" s="121" t="n"/>
      <c r="M837" s="121" t="n"/>
    </row>
    <row r="838" ht="18.75" customHeight="1" s="215">
      <c r="A838" s="152" t="n"/>
      <c r="B838" s="149" t="n"/>
      <c r="C838" s="223" t="n"/>
      <c r="D838" s="218" t="n"/>
      <c r="E838" s="153" t="n"/>
      <c r="F838" s="55" t="n"/>
      <c r="G838" s="55" t="n"/>
      <c r="H838" s="55" t="n"/>
      <c r="I838" s="56" t="n"/>
      <c r="J838" s="121" t="n"/>
      <c r="K838" s="121" t="n"/>
      <c r="L838" s="121" t="n"/>
      <c r="M838" s="121" t="n"/>
    </row>
    <row r="839" ht="18.75" customHeight="1" s="215">
      <c r="A839" s="152" t="n"/>
      <c r="B839" s="149" t="n">
        <v>822</v>
      </c>
      <c r="C839" s="223" t="inlineStr">
        <is>
          <t>NFF-822 – Cliente (Contáctanos) - modo claro – Botón de Navegación Superior: Botón "Volver al inicio" con fondo gris claro, centrado sobre el título principal.</t>
        </is>
      </c>
      <c r="D839" s="218" t="n"/>
      <c r="E839" s="153" t="n"/>
      <c r="F839" s="55" t="inlineStr">
        <is>
          <t>x</t>
        </is>
      </c>
      <c r="G839" s="55" t="n"/>
      <c r="H839" s="55" t="n"/>
      <c r="I839" s="56" t="n"/>
      <c r="J839" s="121" t="n"/>
      <c r="K839" s="121" t="n"/>
      <c r="L839" s="121" t="n"/>
      <c r="M839" s="121" t="n"/>
    </row>
    <row r="840" ht="18.75" customHeight="1" s="215">
      <c r="A840" s="152" t="n"/>
      <c r="B840" s="149" t="n">
        <v>823</v>
      </c>
      <c r="C840" s="223" t="inlineStr">
        <is>
          <t>NFF-823 – Cliente (Contáctanos) - modo claro – Estilo de Texto de Cabecera: Título "Contáctanos" en azul oscuro profundo, seguido de un párrafo descriptivo en gris oscuro.</t>
        </is>
      </c>
      <c r="D840" s="218" t="n"/>
      <c r="E840" s="153" t="n"/>
      <c r="F840" s="55" t="inlineStr">
        <is>
          <t>x</t>
        </is>
      </c>
      <c r="G840" s="55" t="n"/>
      <c r="H840" s="55" t="n"/>
      <c r="I840" s="56" t="n"/>
      <c r="J840" s="121" t="n"/>
      <c r="K840" s="121" t="n"/>
      <c r="L840" s="121" t="n"/>
      <c r="M840" s="121" t="n"/>
    </row>
    <row r="841" ht="18.75" customHeight="1" s="215">
      <c r="A841" s="152" t="n"/>
      <c r="B841" s="149" t="n">
        <v>824</v>
      </c>
      <c r="C841" s="223" t="inlineStr">
        <is>
          <t>NFF-824 – Cliente (Contáctanos) - modo oscuro – Fondo general de la página: Color negro sólido o gris carbón muy oscuro (#0a0a0a) con partículas decorativas tenues.</t>
        </is>
      </c>
      <c r="D841" s="218" t="n"/>
      <c r="E841" s="153" t="n"/>
      <c r="F841" s="55" t="inlineStr">
        <is>
          <t>x</t>
        </is>
      </c>
      <c r="G841" s="55" t="n"/>
      <c r="H841" s="55" t="n"/>
      <c r="I841" s="56" t="n"/>
      <c r="J841" s="121" t="n"/>
      <c r="K841" s="121" t="n"/>
      <c r="L841" s="121" t="n"/>
      <c r="M841" s="121" t="n"/>
    </row>
    <row r="842" ht="18.75" customHeight="1" s="215">
      <c r="A842" s="152" t="n"/>
      <c r="B842" s="149" t="n">
        <v>825</v>
      </c>
      <c r="C842" s="223" t="inlineStr">
        <is>
          <t>NFF-825 – Cliente (Contáctanos) - modo oscuro – Contenedor del Formulario: Fondo gris muy oscuro, border-radius de 12px y borde perimetral sutil en gris oscuro para definición.</t>
        </is>
      </c>
      <c r="D842" s="218" t="n"/>
      <c r="E842" s="153" t="n"/>
      <c r="F842" s="55" t="inlineStr">
        <is>
          <t>x</t>
        </is>
      </c>
      <c r="G842" s="55" t="n"/>
      <c r="H842" s="55" t="n"/>
      <c r="I842" s="56" t="n"/>
      <c r="J842" s="121" t="n"/>
      <c r="K842" s="121" t="n"/>
      <c r="L842" s="121" t="n"/>
      <c r="M842" s="121" t="n"/>
    </row>
    <row r="843" ht="18.75" customHeight="1" s="215">
      <c r="A843" s="152" t="n"/>
      <c r="B843" s="149" t="n">
        <v>826</v>
      </c>
      <c r="C843" s="223" t="inlineStr">
        <is>
          <t>NFF-826 – Cliente (Contáctanos) - modo oscuro – Campos de Entrada (Inputs/Textarea): Fondo negro sólido, bordes finos en gris oscuro y texto/placeholders en gris claro.</t>
        </is>
      </c>
      <c r="D843" s="218" t="n"/>
      <c r="E843" s="153" t="n"/>
      <c r="F843" s="55" t="inlineStr">
        <is>
          <t>x</t>
        </is>
      </c>
      <c r="G843" s="55" t="n"/>
      <c r="H843" s="55" t="n"/>
      <c r="I843" s="56" t="n"/>
      <c r="J843" s="121" t="n"/>
      <c r="K843" s="121" t="n"/>
      <c r="L843" s="121" t="n"/>
      <c r="M843" s="121" t="n"/>
    </row>
    <row r="844" ht="18.75" customHeight="1" s="215">
      <c r="A844" s="152" t="n"/>
      <c r="B844" s="149" t="n">
        <v>827</v>
      </c>
      <c r="C844" s="223" t="inlineStr">
        <is>
          <t>NFF-827 – Cliente (Contáctanos) - modo oscuro – Tipografía de Etiquetas: Texto en blanco puro o gris muy claro, peso bold y fuente sans-serif.</t>
        </is>
      </c>
      <c r="D844" s="218" t="n"/>
      <c r="E844" s="153" t="n"/>
      <c r="F844" s="55" t="inlineStr">
        <is>
          <t>x</t>
        </is>
      </c>
      <c r="G844" s="55" t="n"/>
      <c r="H844" s="55" t="n"/>
      <c r="I844" s="56" t="n"/>
      <c r="J844" s="121" t="n"/>
      <c r="K844" s="121" t="n"/>
      <c r="L844" s="121" t="n"/>
      <c r="M844" s="121" t="n"/>
    </row>
    <row r="845" ht="18.75" customHeight="1" s="215">
      <c r="A845" s="152" t="n"/>
      <c r="B845" s="149" t="n">
        <v>828</v>
      </c>
      <c r="C845" s="223" t="inlineStr">
        <is>
          <t>NFF-828 – Cliente (Contáctanos) - modo oscuro – Botón de Acción Principal: Fondo rojo granate/oscuro (#b71c1c aprox.) con texto en blanco y bordes redondeados de 8px.</t>
        </is>
      </c>
      <c r="D845" s="218" t="n"/>
      <c r="E845" s="153" t="n"/>
      <c r="F845" s="55" t="inlineStr">
        <is>
          <t>x</t>
        </is>
      </c>
      <c r="G845" s="55" t="n"/>
      <c r="H845" s="55" t="n"/>
      <c r="I845" s="56" t="n"/>
      <c r="J845" s="121" t="n"/>
      <c r="K845" s="121" t="n"/>
      <c r="L845" s="121" t="n"/>
      <c r="M845" s="121" t="n"/>
    </row>
    <row r="846" ht="18.75" customHeight="1" s="215">
      <c r="A846" s="152" t="n"/>
      <c r="B846" s="149" t="n">
        <v>829</v>
      </c>
      <c r="C846" s="223" t="inlineStr">
        <is>
          <t>NFF-829 – Cliente (Contáctanos) - modo oscuro – Iconografía en Inputs: Icono de correo en color verde esmeralda brillante dentro del campo "Correo electrónico".</t>
        </is>
      </c>
      <c r="D846" s="218" t="n"/>
      <c r="E846" s="153" t="n"/>
      <c r="F846" s="55" t="inlineStr">
        <is>
          <t>x</t>
        </is>
      </c>
      <c r="G846" s="55" t="n"/>
      <c r="H846" s="55" t="n"/>
      <c r="I846" s="56" t="n"/>
      <c r="J846" s="121" t="n"/>
      <c r="K846" s="121" t="n"/>
      <c r="L846" s="121" t="n"/>
      <c r="M846" s="121" t="n"/>
    </row>
    <row r="847" ht="18.75" customHeight="1" s="215">
      <c r="A847" s="152" t="n"/>
      <c r="B847" s="149" t="n">
        <v>830</v>
      </c>
      <c r="C847" s="223" t="inlineStr">
        <is>
          <t>NFF-830 – Cliente (Contáctanos) - modo oscuro – Área de Mensaje: Campo de texto multilínea con altura expandida y tirador de redimensionamiento sutil.</t>
        </is>
      </c>
      <c r="D847" s="218" t="n"/>
      <c r="E847" s="153" t="n"/>
      <c r="F847" s="55" t="inlineStr">
        <is>
          <t>x</t>
        </is>
      </c>
      <c r="G847" s="55" t="n"/>
      <c r="H847" s="55" t="n"/>
      <c r="I847" s="56" t="n"/>
      <c r="J847" s="121" t="n"/>
      <c r="K847" s="121" t="n"/>
      <c r="L847" s="121" t="n"/>
      <c r="M847" s="121" t="n"/>
    </row>
    <row r="848" ht="18.75" customHeight="1" s="215">
      <c r="A848" s="152" t="n"/>
      <c r="B848" s="149" t="n">
        <v>831</v>
      </c>
      <c r="C848" s="223" t="inlineStr">
        <is>
          <t>NFF-831 – Cliente (Contáctanos) - modo oscuro – Efecto de Fondo: Degradado radial tenue en tonos tierra/ocre que emana desde la parte inferior para dar profundidad.</t>
        </is>
      </c>
      <c r="D848" s="218" t="n"/>
      <c r="E848" s="153" t="n"/>
      <c r="F848" s="55" t="inlineStr">
        <is>
          <t>x</t>
        </is>
      </c>
      <c r="G848" s="55" t="n"/>
      <c r="H848" s="55" t="n"/>
      <c r="I848" s="56" t="n"/>
      <c r="J848" s="121" t="n"/>
      <c r="K848" s="121" t="n"/>
      <c r="L848" s="121" t="n"/>
      <c r="M848" s="121" t="n"/>
    </row>
    <row r="849" ht="18.75" customHeight="1" s="215">
      <c r="A849" s="152" t="n"/>
      <c r="B849" s="149" t="n">
        <v>832</v>
      </c>
      <c r="C849" s="223" t="inlineStr">
        <is>
          <t>NFF-832 – Cliente (Contáctanos) - modo oscuro – Botones de Sesión (Navbar): Botón "Registrarse" con fondo ocre/dorado y botón "Iniciar Sesión" en blanco puro.</t>
        </is>
      </c>
      <c r="D849" s="218" t="n"/>
      <c r="E849" s="153" t="n"/>
      <c r="F849" s="55" t="inlineStr">
        <is>
          <t>x</t>
        </is>
      </c>
      <c r="G849" s="55" t="n"/>
      <c r="H849" s="55" t="n"/>
      <c r="I849" s="56" t="n"/>
      <c r="J849" s="121" t="n"/>
      <c r="K849" s="121" t="n"/>
      <c r="L849" s="121" t="n"/>
      <c r="M849" s="121" t="n"/>
    </row>
    <row r="850" ht="18.75" customHeight="1" s="215">
      <c r="A850" s="152" t="n"/>
      <c r="B850" s="149" t="n">
        <v>833</v>
      </c>
      <c r="C850" s="223" t="inlineStr">
        <is>
          <t>NFF-833 – Cliente (Contáctanos) - modo oscuro – Cabecera de Página: Título "Contáctanos" en blanco bold de gran tamaño y párrafo descriptivo en gris claro centrado.</t>
        </is>
      </c>
      <c r="D850" s="218" t="n"/>
      <c r="E850" s="153" t="n"/>
      <c r="F850" s="55" t="inlineStr">
        <is>
          <t>x</t>
        </is>
      </c>
      <c r="G850" s="55" t="n"/>
      <c r="H850" s="55" t="n"/>
      <c r="I850" s="56" t="n"/>
      <c r="J850" s="121" t="n"/>
      <c r="K850" s="121" t="n"/>
      <c r="L850" s="121" t="n"/>
      <c r="M850" s="121" t="n"/>
    </row>
    <row r="851" ht="18.75" customHeight="1" s="215">
      <c r="A851" s="152" t="n"/>
      <c r="B851" s="149" t="n">
        <v>834</v>
      </c>
      <c r="C851" s="223" t="inlineStr">
        <is>
          <t>NFF-834 – Cliente (Terminos y condiciones de uso) - modo oscuro – Fondo de la página: Color negro sólido o gris carbón muy oscuro (#0a0a0a) con degradado ocre inferior.</t>
        </is>
      </c>
      <c r="D851" s="218" t="n"/>
      <c r="E851" s="153" t="n"/>
      <c r="F851" s="55" t="inlineStr">
        <is>
          <t>x</t>
        </is>
      </c>
      <c r="G851" s="55" t="n"/>
      <c r="H851" s="55" t="n"/>
      <c r="I851" s="56" t="n"/>
      <c r="J851" s="121" t="n"/>
      <c r="K851" s="121" t="n"/>
      <c r="L851" s="121" t="n"/>
      <c r="M851" s="121" t="n"/>
    </row>
    <row r="852" ht="18.75" customHeight="1" s="215">
      <c r="A852" s="152" t="n"/>
      <c r="B852" s="149" t="n">
        <v>835</v>
      </c>
      <c r="C852" s="223" t="inlineStr">
        <is>
          <t>NFF-835 – Cliente (Terminos y condiciones de uso) - modo oscuro – Contenedor Legal: Fondo gris muy oscuro, border-radius de 12px y padding interno amplio para facilitar la lectura extensa.</t>
        </is>
      </c>
      <c r="D852" s="218" t="n"/>
      <c r="E852" s="153" t="n"/>
      <c r="F852" s="55" t="inlineStr">
        <is>
          <t>x</t>
        </is>
      </c>
      <c r="G852" s="55" t="n"/>
      <c r="H852" s="55" t="n"/>
      <c r="I852" s="56" t="n"/>
      <c r="J852" s="121" t="n"/>
      <c r="K852" s="121" t="n"/>
      <c r="L852" s="121" t="n"/>
      <c r="M852" s="121" t="n"/>
    </row>
    <row r="853" ht="18.75" customHeight="1" s="215">
      <c r="A853" s="152" t="n"/>
      <c r="B853" s="149" t="n">
        <v>837</v>
      </c>
      <c r="C853" s="223" t="inlineStr">
        <is>
          <t>NFF-837 – Cliente (Terminos y condiciones de uso) - modo oscuro – Indicador de Versión: Texto de "Última actualización" en gris claro, centrado y con tamaño de fuente reducido debajo del título.</t>
        </is>
      </c>
      <c r="D853" s="218" t="n"/>
      <c r="E853" s="153" t="n"/>
      <c r="F853" s="55" t="inlineStr">
        <is>
          <t>x</t>
        </is>
      </c>
      <c r="G853" s="55" t="n"/>
      <c r="H853" s="55" t="n"/>
      <c r="I853" s="56" t="n"/>
      <c r="J853" s="121" t="n"/>
      <c r="K853" s="121" t="n"/>
      <c r="L853" s="121" t="n"/>
      <c r="M853" s="121" t="n"/>
    </row>
    <row r="854" ht="18.75" customHeight="1" s="215">
      <c r="A854" s="152" t="n"/>
      <c r="B854" s="149" t="n"/>
      <c r="C854" s="223" t="n"/>
      <c r="D854" s="218" t="n"/>
      <c r="E854" s="153" t="n"/>
      <c r="F854" s="55" t="n"/>
      <c r="G854" s="55" t="n"/>
      <c r="H854" s="55" t="n"/>
      <c r="I854" s="56" t="n"/>
      <c r="J854" s="121" t="n"/>
      <c r="K854" s="121" t="n"/>
      <c r="L854" s="121" t="n"/>
      <c r="M854" s="121" t="n"/>
    </row>
    <row r="855" ht="18.75" customHeight="1" s="215">
      <c r="A855" s="152" t="n"/>
      <c r="B855" s="149" t="n">
        <v>838</v>
      </c>
      <c r="C855" s="223" t="inlineStr">
        <is>
          <t>NFF-838 – Cliente (Terminos y condiciones de uso) - modo oscuro – Numeración de Secciones: Títulos de sección (1 al 10) en blanco puro, peso bold para facilitar la navegación visual.</t>
        </is>
      </c>
      <c r="D855" s="218" t="n"/>
      <c r="E855" s="153" t="n"/>
      <c r="F855" s="55" t="inlineStr">
        <is>
          <t>x</t>
        </is>
      </c>
      <c r="G855" s="55" t="n"/>
      <c r="H855" s="55" t="n"/>
      <c r="I855" s="56" t="n"/>
      <c r="J855" s="121" t="n"/>
      <c r="K855" s="121" t="n"/>
      <c r="L855" s="121" t="n"/>
      <c r="M855" s="121" t="n"/>
    </row>
    <row r="856" ht="18.75" customHeight="1" s="215">
      <c r="A856" s="152" t="n"/>
      <c r="B856" s="149" t="n">
        <v>839</v>
      </c>
      <c r="C856" s="223" t="inlineStr">
        <is>
          <t>NFF-839 – Cliente (Terminos y condiciones de uso) - modo oscuro – Cuerpo del Texto: Texto en gris claro con interlineado (line-height) optimizado para lectura de documentos legales largos.</t>
        </is>
      </c>
      <c r="D856" s="218" t="n"/>
      <c r="E856" s="153" t="n"/>
      <c r="F856" s="55" t="inlineStr">
        <is>
          <t>x</t>
        </is>
      </c>
      <c r="G856" s="55" t="n"/>
      <c r="H856" s="55" t="n"/>
      <c r="I856" s="56" t="n"/>
      <c r="J856" s="121" t="n"/>
      <c r="K856" s="121" t="n"/>
      <c r="L856" s="121" t="n"/>
      <c r="M856" s="121" t="n"/>
    </row>
    <row r="857" ht="18.75" customHeight="1" s="215">
      <c r="A857" s="152" t="n"/>
      <c r="B857" s="149" t="n">
        <v>840</v>
      </c>
      <c r="C857" s="223" t="inlineStr">
        <is>
          <t>NFF-840 – Cliente (Terminos y condiciones de uso) - modo oscuro – Acentos de Color: Botón "Registrarse" en ocre/dorado y botón "Iniciar Sesión" en blanco para mantener la consistencia de marca.</t>
        </is>
      </c>
      <c r="D857" s="218" t="n"/>
      <c r="E857" s="153" t="n"/>
      <c r="F857" s="55" t="inlineStr">
        <is>
          <t>x</t>
        </is>
      </c>
      <c r="G857" s="55" t="n"/>
      <c r="H857" s="55" t="n"/>
      <c r="I857" s="56" t="n"/>
      <c r="J857" s="121" t="n"/>
      <c r="K857" s="121" t="n"/>
      <c r="L857" s="121" t="n"/>
      <c r="M857" s="121" t="n"/>
    </row>
    <row r="858" ht="18.75" customHeight="1" s="215">
      <c r="A858" s="152" t="n"/>
      <c r="B858" s="149" t="n">
        <v>841</v>
      </c>
      <c r="C858" s="223" t="inlineStr">
        <is>
          <t>NFF-841 – Cliente (Terminos y condiciones de uso) - modo oscuro – Barra de Navegación: Fondo transparente con logotipo "Reservify" y controles de tema (luna) visibles en la parte superior.</t>
        </is>
      </c>
      <c r="D858" s="218" t="n"/>
      <c r="E858" s="153" t="n"/>
      <c r="F858" s="55" t="inlineStr">
        <is>
          <t>x</t>
        </is>
      </c>
      <c r="G858" s="55" t="n"/>
      <c r="H858" s="55" t="n"/>
      <c r="I858" s="56" t="n"/>
      <c r="J858" s="121" t="n"/>
      <c r="K858" s="121" t="n"/>
      <c r="L858" s="121" t="n"/>
      <c r="M858" s="121" t="n"/>
    </row>
    <row r="859" ht="18.75" customHeight="1" s="215">
      <c r="A859" s="152" t="n"/>
      <c r="B859" s="149" t="n">
        <v>842</v>
      </c>
      <c r="C859" s="223" t="inlineStr">
        <is>
          <t>NFF-842 – Cliente (Terminos y condiciones de uso) - modo oscuro – Botón de Navegación Secundaria: Botón "Volver al inicio" con fondo gris oscuro y bordes redondeados, ubicado sobre el título.</t>
        </is>
      </c>
      <c r="D859" s="218" t="n"/>
      <c r="E859" s="153" t="n"/>
      <c r="F859" s="55" t="inlineStr">
        <is>
          <t>x</t>
        </is>
      </c>
      <c r="G859" s="55" t="n"/>
      <c r="H859" s="55" t="n"/>
      <c r="I859" s="56" t="n"/>
      <c r="J859" s="121" t="n"/>
      <c r="K859" s="121" t="n"/>
      <c r="L859" s="121" t="n"/>
      <c r="M859" s="121" t="n"/>
    </row>
    <row r="860" ht="18.75" customHeight="1" s="215">
      <c r="A860" s="152" t="n"/>
      <c r="B860" s="149" t="n">
        <v>843</v>
      </c>
      <c r="C860" s="223" t="inlineStr">
        <is>
          <t>NFF-843 – Cliente (Terminos y condiciones de uso) - modo oscuro – Efectos Visuales: Partículas mínimas en el fondo para mantener la estética "espacial" o de profundidad de la plataforma.</t>
        </is>
      </c>
      <c r="D860" s="218" t="n"/>
      <c r="E860" s="153" t="n"/>
      <c r="F860" s="55" t="inlineStr">
        <is>
          <t>x</t>
        </is>
      </c>
      <c r="G860" s="55" t="n"/>
      <c r="H860" s="55" t="n"/>
      <c r="I860" s="56" t="n"/>
      <c r="J860" s="121" t="n"/>
      <c r="K860" s="121" t="n"/>
      <c r="L860" s="121" t="n"/>
      <c r="M860" s="121" t="n"/>
    </row>
    <row r="861" ht="18.75" customHeight="1" s="215">
      <c r="A861" s="152" t="n"/>
      <c r="B861" s="149" t="n">
        <v>844</v>
      </c>
      <c r="C861" s="223" t="inlineStr">
        <is>
          <t>NFF-844 – Cliente (Terminos y condiciones de uso) - modo claro – Fondo de la página: Degradado radial suave en tonos beige/crema claro hacia blanco.</t>
        </is>
      </c>
      <c r="D861" s="218" t="n"/>
      <c r="E861" s="153" t="n"/>
      <c r="F861" s="55" t="inlineStr">
        <is>
          <t>x</t>
        </is>
      </c>
      <c r="G861" s="55" t="n"/>
      <c r="H861" s="55" t="n"/>
      <c r="I861" s="56" t="n"/>
      <c r="J861" s="121" t="n"/>
      <c r="K861" s="121" t="n"/>
      <c r="L861" s="121" t="n"/>
      <c r="M861" s="121" t="n"/>
    </row>
    <row r="862" ht="18.75" customHeight="1" s="215">
      <c r="A862" s="152" t="n"/>
      <c r="B862" s="149" t="n">
        <v>845</v>
      </c>
      <c r="C862" s="223" t="inlineStr">
        <is>
          <t>NFF-845 – Cliente (Terminos y condiciones de uso) - modo claro – Contenedor Legal: Fondo blanco sólido, border-radius de 12px y sombra sutil (drop shadow) para separación del fondo.</t>
        </is>
      </c>
      <c r="D862" s="218" t="n"/>
      <c r="E862" s="153" t="n"/>
      <c r="F862" s="55" t="inlineStr">
        <is>
          <t>x</t>
        </is>
      </c>
      <c r="G862" s="55" t="n"/>
      <c r="H862" s="55" t="n"/>
      <c r="I862" s="56" t="n"/>
      <c r="J862" s="121" t="n"/>
      <c r="K862" s="121" t="n"/>
      <c r="L862" s="121" t="n"/>
      <c r="M862" s="121" t="n"/>
    </row>
    <row r="863" ht="18.75" customHeight="1" s="215">
      <c r="A863" s="152" t="n"/>
      <c r="B863" s="149" t="n">
        <v>846</v>
      </c>
      <c r="C863" s="223" t="inlineStr">
        <is>
          <t>NFF-846 – Cliente (Terminos y condiciones de uso) - modo claro – Título Principal: Texto "Términos y Condiciones de Uso" en azul marino oscuro (#2d3748) y peso bold.</t>
        </is>
      </c>
      <c r="D863" s="218" t="n"/>
      <c r="E863" s="153" t="n"/>
      <c r="F863" s="55" t="inlineStr">
        <is>
          <t>x</t>
        </is>
      </c>
      <c r="G863" s="55" t="n"/>
      <c r="H863" s="55" t="n"/>
      <c r="I863" s="56" t="n"/>
      <c r="J863" s="121" t="n"/>
      <c r="K863" s="121" t="n"/>
      <c r="L863" s="121" t="n"/>
      <c r="M863" s="121" t="n"/>
    </row>
    <row r="864" ht="18.75" customHeight="1" s="215">
      <c r="A864" s="152" t="n"/>
      <c r="B864" s="149" t="n">
        <v>847</v>
      </c>
      <c r="C864" s="223" t="inlineStr">
        <is>
          <t>NFF-847 – Cliente (Terminos y condiciones de uso) - modo claro – Indicador de Versión: Texto de "Última actualización" en gris medio, centrado bajo el título principal.</t>
        </is>
      </c>
      <c r="D864" s="218" t="n"/>
      <c r="E864" s="153" t="n"/>
      <c r="F864" s="55" t="inlineStr">
        <is>
          <t>x</t>
        </is>
      </c>
      <c r="G864" s="55" t="n"/>
      <c r="H864" s="55" t="n"/>
      <c r="I864" s="56" t="n"/>
      <c r="J864" s="121" t="n"/>
      <c r="K864" s="121" t="n"/>
      <c r="L864" s="121" t="n"/>
      <c r="M864" s="121" t="n"/>
    </row>
    <row r="865" ht="18.75" customHeight="1" s="215">
      <c r="A865" s="152" t="n"/>
      <c r="B865" s="149" t="n">
        <v>848</v>
      </c>
      <c r="C865" s="223" t="inlineStr">
        <is>
          <t>NFF-848 – Cliente (Terminos y condiciones de uso) - modo claro – Numeración de Secciones: Títulos de sección (1 al 10) en color oscuro y peso bold para resaltar la estructura del documento.</t>
        </is>
      </c>
      <c r="D865" s="218" t="n"/>
      <c r="E865" s="153" t="n"/>
      <c r="F865" s="55" t="inlineStr">
        <is>
          <t>x</t>
        </is>
      </c>
      <c r="G865" s="55" t="n"/>
      <c r="H865" s="55" t="n"/>
      <c r="I865" s="56" t="n"/>
      <c r="J865" s="121" t="n"/>
      <c r="K865" s="121" t="n"/>
      <c r="L865" s="121" t="n"/>
      <c r="M865" s="121" t="n"/>
    </row>
    <row r="866" ht="18.75" customHeight="1" s="215">
      <c r="A866" s="152" t="n"/>
      <c r="B866" s="149" t="n">
        <v>849</v>
      </c>
      <c r="C866" s="223" t="inlineStr">
        <is>
          <t>NFF-849 – Cliente (Terminos y condiciones de uso) - modo claro – Cuerpo del Texto: Texto en gris oxford oscuro con interlineado amplio para mejorar la lectura de cláusulas legales.</t>
        </is>
      </c>
      <c r="D866" s="218" t="n"/>
      <c r="E866" s="153" t="n"/>
      <c r="F866" s="55" t="inlineStr">
        <is>
          <t>x</t>
        </is>
      </c>
      <c r="G866" s="55" t="n"/>
      <c r="H866" s="55" t="n"/>
      <c r="I866" s="56" t="n"/>
      <c r="J866" s="121" t="n"/>
      <c r="K866" s="121" t="n"/>
      <c r="L866" s="121" t="n"/>
      <c r="M866" s="121" t="n"/>
    </row>
    <row r="867" ht="18.75" customHeight="1" s="215">
      <c r="A867" s="152" t="n"/>
      <c r="B867" s="149" t="n">
        <v>850</v>
      </c>
      <c r="C867" s="223" t="inlineStr">
        <is>
          <t>NFF-850 – Cliente (Terminos y condiciones de uso) - modo claro – Barra de Navegación (Navbar): Fondo blanco/transparente con logotipo "Reservify" y controles alineados a los extremos.</t>
        </is>
      </c>
      <c r="D867" s="218" t="n"/>
      <c r="E867" s="153" t="n"/>
      <c r="F867" s="55" t="inlineStr">
        <is>
          <t>x</t>
        </is>
      </c>
      <c r="G867" s="55" t="n"/>
      <c r="H867" s="55" t="n"/>
      <c r="I867" s="56" t="n"/>
      <c r="J867" s="121" t="n"/>
      <c r="K867" s="121" t="n"/>
      <c r="L867" s="121" t="n"/>
      <c r="M867" s="121" t="n"/>
    </row>
    <row r="868" ht="18.75" customHeight="1" s="215">
      <c r="A868" s="152" t="n"/>
      <c r="B868" s="149" t="n">
        <v>851</v>
      </c>
      <c r="C868" s="223" t="inlineStr">
        <is>
          <t>NFF-851 – Cliente (Terminos y condiciones de uso) - modo claro – Botones de Sesión: Botón "Iniciar Sesión" con borde definido; botón "Registrarse" con fondo verde pastel (#a8c2b1).</t>
        </is>
      </c>
      <c r="D868" s="218" t="n"/>
      <c r="E868" s="153" t="n"/>
      <c r="F868" s="55" t="inlineStr">
        <is>
          <t>x</t>
        </is>
      </c>
      <c r="G868" s="55" t="n"/>
      <c r="H868" s="55" t="n"/>
      <c r="I868" s="56" t="n"/>
      <c r="J868" s="121" t="n"/>
      <c r="K868" s="121" t="n"/>
      <c r="L868" s="121" t="n"/>
      <c r="M868" s="121" t="n"/>
    </row>
    <row r="869" ht="18.75" customHeight="1" s="215">
      <c r="A869" s="152" t="n"/>
      <c r="B869" s="149" t="n">
        <v>852</v>
      </c>
      <c r="C869" s="223" t="inlineStr">
        <is>
          <t>NFF-852 – Cliente (Terminos y condiciones de uso) - modo claro – Selector de Tema: Icono de sol/brillo centrado indicando el estado activo del modo claro.</t>
        </is>
      </c>
      <c r="D869" s="218" t="n"/>
      <c r="E869" s="153" t="n"/>
      <c r="F869" s="55" t="inlineStr">
        <is>
          <t>x</t>
        </is>
      </c>
      <c r="G869" s="55" t="n"/>
      <c r="H869" s="55" t="n"/>
      <c r="I869" s="56" t="n"/>
      <c r="J869" s="121" t="n"/>
      <c r="K869" s="121" t="n"/>
      <c r="L869" s="121" t="n"/>
      <c r="M869" s="121" t="n"/>
    </row>
    <row r="870" ht="18.75" customHeight="1" s="215">
      <c r="A870" s="152" t="n"/>
      <c r="B870" s="149" t="n">
        <v>853</v>
      </c>
      <c r="C870" s="223" t="inlineStr">
        <is>
          <t>NFF-853 – Cliente (Terminos y condiciones de uso) - modo claro – Espaciado Táctil: Margen interno (padding) amplio para evitar que el texto toque los bordes del contenedor blanco.</t>
        </is>
      </c>
      <c r="D870" s="218" t="n"/>
      <c r="E870" s="153" t="n"/>
      <c r="F870" s="55" t="inlineStr">
        <is>
          <t>x</t>
        </is>
      </c>
      <c r="G870" s="55" t="n"/>
      <c r="H870" s="55" t="n"/>
      <c r="I870" s="56" t="n"/>
      <c r="J870" s="121" t="n"/>
      <c r="K870" s="121" t="n"/>
      <c r="L870" s="121" t="n"/>
      <c r="M870" s="121" t="n"/>
    </row>
    <row r="871" ht="18.75" customHeight="1" s="215">
      <c r="A871" s="152" t="n"/>
      <c r="B871" s="149" t="n">
        <v>854</v>
      </c>
      <c r="C871" s="223" t="inlineStr">
        <is>
          <t>NFF-854 – Cliente (Politica y privacidad) - modo claro – Fondo de la página: Degradado radial suave en tonos beige/crema claro hacia blanco.</t>
        </is>
      </c>
      <c r="D871" s="218" t="n"/>
      <c r="E871" s="153" t="n"/>
      <c r="F871" s="55" t="inlineStr">
        <is>
          <t>x</t>
        </is>
      </c>
      <c r="G871" s="55" t="n"/>
      <c r="H871" s="55" t="n"/>
      <c r="I871" s="56" t="n"/>
      <c r="J871" s="121" t="n"/>
      <c r="K871" s="121" t="n"/>
      <c r="L871" s="121" t="n"/>
      <c r="M871" s="121" t="n"/>
    </row>
    <row r="872" ht="18.75" customHeight="1" s="215">
      <c r="A872" s="152" t="n"/>
      <c r="B872" s="149" t="n">
        <v>855</v>
      </c>
      <c r="C872" s="223" t="inlineStr">
        <is>
          <t>NFF-855 – Cliente (Politica y privacidad) - modo claro – Contenedor Principal: Fondo blanco sólido, border-radius de 12px y sombra sutil para profundidad.</t>
        </is>
      </c>
      <c r="D872" s="218" t="n"/>
      <c r="E872" s="153" t="n"/>
      <c r="F872" s="55" t="inlineStr">
        <is>
          <t>x</t>
        </is>
      </c>
      <c r="G872" s="55" t="n"/>
      <c r="H872" s="55" t="n"/>
      <c r="I872" s="56" t="n"/>
      <c r="J872" s="121" t="n"/>
      <c r="K872" s="121" t="n"/>
      <c r="L872" s="121" t="n"/>
      <c r="M872" s="121" t="n"/>
    </row>
    <row r="873" ht="18.75" customHeight="1" s="215">
      <c r="A873" s="152" t="n"/>
      <c r="B873" s="149" t="n">
        <v>856</v>
      </c>
      <c r="C873" s="223" t="inlineStr">
        <is>
          <t>NFF-856 – Cliente (Politica y privacidad) - modo claro – Título de Sección: Texto "Política de Privacidad" en color azul marino oscuro (#2d3748) y peso bold.</t>
        </is>
      </c>
      <c r="D873" s="218" t="n"/>
      <c r="E873" s="153" t="n"/>
      <c r="F873" s="55" t="inlineStr">
        <is>
          <t>x</t>
        </is>
      </c>
      <c r="G873" s="55" t="n"/>
      <c r="H873" s="55" t="n"/>
      <c r="I873" s="56" t="n"/>
      <c r="J873" s="121" t="n"/>
      <c r="K873" s="121" t="n"/>
      <c r="L873" s="121" t="n"/>
      <c r="M873" s="121" t="n"/>
    </row>
    <row r="874" ht="18.75" customHeight="1" s="215">
      <c r="A874" s="152" t="n"/>
      <c r="B874" s="149" t="n">
        <v>857</v>
      </c>
      <c r="C874" s="223" t="inlineStr">
        <is>
          <t>NFF-857 – Cliente (Politica y privacidad) - modo claro – Bajada de Título: Texto descriptivo breve en gris medio centrado debajo del título principal.</t>
        </is>
      </c>
      <c r="D874" s="218" t="n"/>
      <c r="E874" s="153" t="n"/>
      <c r="F874" s="55" t="inlineStr">
        <is>
          <t>x</t>
        </is>
      </c>
      <c r="G874" s="55" t="n"/>
      <c r="H874" s="55" t="n"/>
      <c r="I874" s="56" t="n"/>
      <c r="J874" s="121" t="n"/>
      <c r="K874" s="121" t="n"/>
      <c r="L874" s="121" t="n"/>
      <c r="M874" s="121" t="n"/>
    </row>
    <row r="875" ht="18.75" customHeight="1" s="215">
      <c r="A875" s="152" t="n"/>
      <c r="B875" s="149" t="n">
        <v>858</v>
      </c>
      <c r="C875" s="223" t="inlineStr">
        <is>
          <t>NFF-858 – Cliente (Politica y privacidad) - modo claro – Estructura de Puntos: Numeración (1 al 10) en color oscuro y peso bold para facilitar la navegación rápida.</t>
        </is>
      </c>
      <c r="D875" s="218" t="n"/>
      <c r="E875" s="153" t="n"/>
      <c r="F875" s="55" t="inlineStr">
        <is>
          <t>x</t>
        </is>
      </c>
      <c r="G875" s="55" t="n"/>
      <c r="H875" s="55" t="n"/>
      <c r="I875" s="56" t="n"/>
      <c r="J875" s="121" t="n"/>
      <c r="K875" s="121" t="n"/>
      <c r="L875" s="121" t="n"/>
      <c r="M875" s="121" t="n"/>
    </row>
    <row r="876" ht="18.75" customHeight="1" s="215">
      <c r="A876" s="152" t="n"/>
      <c r="B876" s="149" t="n">
        <v>859</v>
      </c>
      <c r="C876" s="223" t="inlineStr">
        <is>
          <t>NFF-859 – Cliente (Politica y privacidad) - modo claro – Cuerpo de Texto: Texto en gris oxford con interlineado (line-height) generoso para mejorar la legibilidad.</t>
        </is>
      </c>
      <c r="D876" s="218" t="n"/>
      <c r="E876" s="153" t="n"/>
      <c r="F876" s="55" t="inlineStr">
        <is>
          <t>x</t>
        </is>
      </c>
      <c r="G876" s="55" t="n"/>
      <c r="H876" s="55" t="n"/>
      <c r="I876" s="56" t="n"/>
      <c r="J876" s="121" t="n"/>
      <c r="K876" s="121" t="n"/>
      <c r="L876" s="121" t="n"/>
      <c r="M876" s="121" t="n"/>
    </row>
    <row r="877" ht="18.75" customHeight="1" s="215">
      <c r="A877" s="152" t="n"/>
      <c r="B877" s="149" t="n">
        <v>860</v>
      </c>
      <c r="C877" s="223" t="inlineStr">
        <is>
          <t>NFF-860 – Cliente (Politica y privacidad) - modo claro – Barra de Navegación (Navbar): Logotipo "Reservify" a la izquierda; botones "Iniciar Sesión" (oscuro) y "Registrarse" (verde pastel) a la derecha.</t>
        </is>
      </c>
      <c r="D877" s="218" t="n"/>
      <c r="E877" s="153" t="n"/>
      <c r="F877" s="55" t="inlineStr">
        <is>
          <t>x</t>
        </is>
      </c>
      <c r="G877" s="55" t="n"/>
      <c r="H877" s="55" t="n"/>
      <c r="I877" s="56" t="n"/>
      <c r="J877" s="121" t="n"/>
      <c r="K877" s="121" t="n"/>
      <c r="L877" s="121" t="n"/>
      <c r="M877" s="121" t="n"/>
    </row>
    <row r="878" ht="18.75" customHeight="1" s="215">
      <c r="A878" s="152" t="n"/>
      <c r="B878" s="149" t="n">
        <v>861</v>
      </c>
      <c r="C878" s="223" t="inlineStr">
        <is>
          <t>NFF-861 – Cliente (Politica y privacidad) - modo claro – Selector de Tema: Icono de sol/brillo centrado en el Navbar para control de alternancia lumínica.</t>
        </is>
      </c>
      <c r="D878" s="218" t="n"/>
      <c r="E878" s="153" t="n"/>
      <c r="F878" s="55" t="inlineStr">
        <is>
          <t>x</t>
        </is>
      </c>
      <c r="G878" s="55" t="n"/>
      <c r="H878" s="55" t="n"/>
      <c r="I878" s="56" t="n"/>
      <c r="J878" s="121" t="n"/>
      <c r="K878" s="121" t="n"/>
      <c r="L878" s="121" t="n"/>
      <c r="M878" s="121" t="n"/>
    </row>
    <row r="879" ht="18.75" customHeight="1" s="215">
      <c r="A879" s="152" t="n"/>
      <c r="B879" s="149" t="n">
        <v>862</v>
      </c>
      <c r="C879" s="223" t="inlineStr">
        <is>
          <t>NFF-862 – Cliente (Politica y privacidad) - modo claro – Márgenes Internos: Padding amplio dentro del contenedor para evitar que el texto se acerque a los bordes curvos.</t>
        </is>
      </c>
      <c r="D879" s="218" t="n"/>
      <c r="E879" s="153" t="n"/>
      <c r="F879" s="55" t="inlineStr">
        <is>
          <t>x</t>
        </is>
      </c>
      <c r="G879" s="55" t="n"/>
      <c r="H879" s="55" t="n"/>
      <c r="I879" s="56" t="n"/>
      <c r="J879" s="121" t="n"/>
      <c r="K879" s="121" t="n"/>
      <c r="L879" s="121" t="n"/>
      <c r="M879" s="121" t="n"/>
    </row>
    <row r="880" ht="18.75" customHeight="1" s="215">
      <c r="A880" s="152" t="n"/>
      <c r="B880" s="149" t="n">
        <v>863</v>
      </c>
      <c r="C880" s="223" t="inlineStr">
        <is>
          <t>NFF-863 – Cliente (Politica y privacidad) - modo claro – Consistencia Visual: Uso de la misma paleta de colores crema y blanco empleada en la página de Términos y Condiciones.</t>
        </is>
      </c>
      <c r="D880" s="218" t="n"/>
      <c r="E880" s="153" t="n"/>
      <c r="F880" s="55" t="inlineStr">
        <is>
          <t>x</t>
        </is>
      </c>
      <c r="G880" s="55" t="n"/>
      <c r="H880" s="55" t="n"/>
      <c r="I880" s="56" t="n"/>
      <c r="J880" s="121" t="n"/>
      <c r="K880" s="121" t="n"/>
      <c r="L880" s="121" t="n"/>
      <c r="M880" s="121" t="n"/>
    </row>
    <row r="881" ht="18.75" customHeight="1" s="215">
      <c r="A881" s="152" t="n"/>
      <c r="B881" s="149" t="n">
        <v>864</v>
      </c>
      <c r="C881" s="223" t="inlineStr">
        <is>
          <t>NFF-874 – Cliente (Politica y privacidad) - modo oscuro – Fondo de la página: Color negro sólido (#0a0a0a) con degradado ocre/tierra en la parte inferior.</t>
        </is>
      </c>
      <c r="D881" s="218" t="n"/>
      <c r="E881" s="153" t="n"/>
      <c r="F881" s="55" t="inlineStr">
        <is>
          <t>x</t>
        </is>
      </c>
      <c r="G881" s="55" t="n"/>
      <c r="H881" s="55" t="n"/>
      <c r="I881" s="56" t="n"/>
      <c r="J881" s="121" t="n"/>
      <c r="K881" s="121" t="n"/>
      <c r="L881" s="121" t="n"/>
      <c r="M881" s="121" t="n"/>
    </row>
    <row r="882" ht="18.75" customHeight="1" s="215">
      <c r="A882" s="152" t="n"/>
      <c r="B882" s="149" t="n">
        <v>865</v>
      </c>
      <c r="C882" s="223" t="inlineStr">
        <is>
          <t>NFF-875 – Cliente (Politica y privacidad) - modo oscuro – Contenedor Principal: Fondo gris muy oscuro, border-radius de 12px y borde sutil para definición sobre el fondo negro.</t>
        </is>
      </c>
      <c r="D882" s="218" t="n"/>
      <c r="E882" s="153" t="n"/>
      <c r="F882" s="55" t="inlineStr">
        <is>
          <t>x</t>
        </is>
      </c>
      <c r="G882" s="55" t="n"/>
      <c r="H882" s="55" t="n"/>
      <c r="I882" s="56" t="n"/>
      <c r="J882" s="121" t="n"/>
      <c r="K882" s="121" t="n"/>
      <c r="L882" s="121" t="n"/>
      <c r="M882" s="121" t="n"/>
    </row>
    <row r="883" ht="18.75" customHeight="1" s="215">
      <c r="A883" s="152" t="n"/>
      <c r="B883" s="149" t="n">
        <v>866</v>
      </c>
      <c r="C883" s="223" t="inlineStr">
        <is>
          <t>NFF-876 – Cliente (Politica y privacidad) - modo oscuro – Título de Sección: Texto "Política de Privacidad" en blanco puro, peso bold y fuente sans-serif.</t>
        </is>
      </c>
      <c r="D883" s="218" t="n"/>
      <c r="E883" s="153" t="n"/>
      <c r="F883" s="55" t="inlineStr">
        <is>
          <t>x</t>
        </is>
      </c>
      <c r="G883" s="55" t="n"/>
      <c r="H883" s="55" t="n"/>
      <c r="I883" s="56" t="n"/>
      <c r="J883" s="121" t="n"/>
      <c r="K883" s="121" t="n"/>
      <c r="L883" s="121" t="n"/>
      <c r="M883" s="121" t="n"/>
    </row>
    <row r="884" ht="18.75" customHeight="1" s="215">
      <c r="A884" s="152" t="n"/>
      <c r="B884" s="149" t="n">
        <v>867</v>
      </c>
      <c r="C884" s="223" t="inlineStr">
        <is>
          <t>NFF-877 – Cliente (Politica y privacidad) - modo oscuro – Bajada de Título: Texto descriptivo en gris claro centrado debajo del título principal para contexto inmediato.</t>
        </is>
      </c>
      <c r="D884" s="218" t="n"/>
      <c r="E884" s="153" t="n"/>
      <c r="F884" s="55" t="inlineStr">
        <is>
          <t>x</t>
        </is>
      </c>
      <c r="G884" s="55" t="n"/>
      <c r="H884" s="55" t="n"/>
      <c r="I884" s="56" t="n"/>
      <c r="J884" s="121" t="n"/>
      <c r="K884" s="121" t="n"/>
      <c r="L884" s="121" t="n"/>
      <c r="M884" s="121" t="n"/>
    </row>
    <row r="885" ht="18.75" customHeight="1" s="215">
      <c r="A885" s="152" t="n"/>
      <c r="B885" s="149" t="n">
        <v>868</v>
      </c>
      <c r="C885" s="223" t="inlineStr">
        <is>
          <t>NFF-878 – Cliente (Politica y privacidad) - modo oscuro – Estructura de Puntos: Títulos numerados (1 al 10) en blanco puro y peso bold para resaltar la jerarquía legal.</t>
        </is>
      </c>
      <c r="D885" s="218" t="n"/>
      <c r="E885" s="153" t="n"/>
      <c r="F885" s="55" t="inlineStr">
        <is>
          <t>x</t>
        </is>
      </c>
      <c r="G885" s="55" t="n"/>
      <c r="H885" s="55" t="n"/>
      <c r="I885" s="56" t="n"/>
      <c r="J885" s="121" t="n"/>
      <c r="K885" s="121" t="n"/>
      <c r="L885" s="121" t="n"/>
      <c r="M885" s="121" t="n"/>
    </row>
    <row r="886" ht="18.75" customHeight="1" s="215">
      <c r="A886" s="152" t="n"/>
      <c r="B886" s="149" t="n">
        <v>869</v>
      </c>
      <c r="C886" s="223" t="inlineStr">
        <is>
          <t>NFF-879 – Cliente (Politica y privacidad) - modo oscuro – Cuerpo de Texto: Texto en gris claro con interlineado (line-height) amplio para facilitar la lectura de párrafos densos.</t>
        </is>
      </c>
      <c r="D886" s="218" t="n"/>
      <c r="E886" s="153" t="n"/>
      <c r="F886" s="55" t="inlineStr">
        <is>
          <t>x</t>
        </is>
      </c>
      <c r="G886" s="55" t="n"/>
      <c r="H886" s="55" t="n"/>
      <c r="I886" s="56" t="n"/>
      <c r="J886" s="121" t="n"/>
      <c r="K886" s="121" t="n"/>
      <c r="L886" s="121" t="n"/>
      <c r="M886" s="121" t="n"/>
    </row>
    <row r="887" ht="18.75" customHeight="1" s="215">
      <c r="A887" s="152" t="n"/>
      <c r="B887" s="149" t="n">
        <v>870</v>
      </c>
      <c r="C887" s="223" t="inlineStr">
        <is>
          <t>NFF-880 – Cliente (Politica y privacidad) - modo oscuro – Barra de Navegación (Navbar): Logotipo "Reservify" (blanco); botones de acción "Iniciar Sesión" (blanco) y "Registrarse" (ocre/dorado).</t>
        </is>
      </c>
      <c r="D887" s="218" t="n"/>
      <c r="E887" s="153" t="n"/>
      <c r="F887" s="55" t="inlineStr">
        <is>
          <t>x</t>
        </is>
      </c>
      <c r="G887" s="55" t="n"/>
      <c r="H887" s="55" t="n"/>
      <c r="I887" s="56" t="n"/>
      <c r="J887" s="121" t="n"/>
      <c r="K887" s="121" t="n"/>
      <c r="L887" s="121" t="n"/>
      <c r="M887" s="121" t="n"/>
    </row>
    <row r="888" ht="18.75" customHeight="1" s="215">
      <c r="A888" s="152" t="n"/>
      <c r="B888" s="149" t="n">
        <v>871</v>
      </c>
      <c r="C888" s="223" t="inlineStr">
        <is>
          <t>NFF-881 – Cliente (Politica y privacidad) - modo oscuro – Selector de Tema: Icono de luna en el Navbar indicando el estado activo del modo oscuro.</t>
        </is>
      </c>
      <c r="D888" s="218" t="n"/>
      <c r="E888" s="153" t="n"/>
      <c r="F888" s="55" t="inlineStr">
        <is>
          <t>x</t>
        </is>
      </c>
      <c r="G888" s="55" t="n"/>
      <c r="H888" s="55" t="n"/>
      <c r="I888" s="56" t="n"/>
      <c r="J888" s="121" t="n"/>
      <c r="K888" s="121" t="n"/>
      <c r="L888" s="121" t="n"/>
      <c r="M888" s="121" t="n"/>
    </row>
    <row r="889" ht="18.75" customHeight="1" s="215">
      <c r="A889" s="152" t="n"/>
      <c r="B889" s="149" t="n">
        <v>872</v>
      </c>
      <c r="C889" s="223" t="inlineStr">
        <is>
          <t>NFF-882 – Cliente (Politica y privacidad) - modo oscuro – Márgenes Internos: Espaciado (padding) generoso para evitar que el texto toque los bordes del contenedor.</t>
        </is>
      </c>
      <c r="D889" s="218" t="n"/>
      <c r="E889" s="153" t="n"/>
      <c r="F889" s="55" t="inlineStr">
        <is>
          <t>x</t>
        </is>
      </c>
      <c r="G889" s="55" t="n"/>
      <c r="H889" s="55" t="n"/>
      <c r="I889" s="56" t="n"/>
      <c r="J889" s="121" t="n"/>
      <c r="K889" s="121" t="n"/>
      <c r="L889" s="121" t="n"/>
      <c r="M889" s="121" t="n"/>
    </row>
    <row r="890" ht="18.75" customHeight="1" s="215">
      <c r="A890" s="152" t="n"/>
      <c r="B890" s="149" t="n">
        <v>873</v>
      </c>
      <c r="C890" s="223" t="inlineStr">
        <is>
          <t>NFF-883 – Cliente (Politica y privacidad) - modo oscuro – Elementos Decorativos: Partículas mínimas dispersas en el fondo para mantener la coherencia estética del sitio.</t>
        </is>
      </c>
      <c r="D890" s="218" t="n"/>
      <c r="E890" s="153" t="n"/>
      <c r="F890" s="55" t="inlineStr">
        <is>
          <t>x</t>
        </is>
      </c>
      <c r="G890" s="55" t="n"/>
      <c r="H890" s="55" t="n"/>
      <c r="I890" s="56" t="n"/>
      <c r="J890" s="121" t="n"/>
      <c r="K890" s="121" t="n"/>
      <c r="L890" s="121" t="n"/>
      <c r="M890" s="121" t="n"/>
    </row>
    <row r="891" ht="18.75" customHeight="1" s="215">
      <c r="A891" s="152" t="n"/>
      <c r="B891" s="149" t="n">
        <v>874</v>
      </c>
      <c r="C891" s="223" t="inlineStr">
        <is>
          <t>Dueño (`Dashboard.tsx`) – sidebar `app-sidebar.tsx`, pestañas típicas: resumen, restaurantes, reservas, clientes, facturación, correos, configuración; métricas `OwnerMetricsService`, `OwnerMonthlyFlowService`, tablas reservas/facturas, export CSV, PDF cliente (`OwnerInvoicesService`). Modales: **AddRestaurant**, **RestaurantConfig**, **RestaurantReservations**, **AllReservations**, **InvoiceDetail**.</t>
        </is>
      </c>
      <c r="D891" s="218" t="n"/>
      <c r="E891" s="153" t="n"/>
      <c r="F891" s="55" t="inlineStr">
        <is>
          <t>x</t>
        </is>
      </c>
      <c r="G891" s="55" t="n"/>
      <c r="H891" s="55" t="n"/>
      <c r="I891" s="56" t="n"/>
      <c r="J891" s="121" t="n"/>
      <c r="K891" s="121" t="n"/>
      <c r="L891" s="121" t="n"/>
      <c r="M891" s="121" t="n"/>
    </row>
    <row r="892" ht="18.75" customHeight="1" s="215">
      <c r="A892" s="152" t="n"/>
      <c r="B892" s="149" t="n">
        <v>875</v>
      </c>
      <c r="C892" s="223" t="inlineStr">
        <is>
          <t>Administrador (`AdminDashboard.tsx`) – mismo patrón visual con **un restaurante**; **no** incluye `AddRestaurantModal` ni `RestaurantReservationsModal` (solo gestión sobre el local asignado: config, reservas globales modal, facturas, correos).</t>
        </is>
      </c>
      <c r="D892" s="218" t="n"/>
      <c r="E892" s="153" t="n"/>
      <c r="F892" s="55" t="inlineStr">
        <is>
          <t>x</t>
        </is>
      </c>
      <c r="G892" s="55" t="n"/>
      <c r="H892" s="55" t="n"/>
      <c r="I892" s="56" t="n"/>
      <c r="J892" s="121" t="n"/>
      <c r="K892" s="121" t="n"/>
      <c r="L892" s="121" t="n"/>
      <c r="M892" s="121" t="n"/>
    </row>
    <row r="893" ht="18.75" customHeight="1" s="215">
      <c r="A893" s="152" t="n"/>
      <c r="B893" s="149" t="n">
        <v>876</v>
      </c>
      <c r="C893" s="223" t="inlineStr">
        <is>
          <t>Empleado (`employee-dashboard.tsx`) – `Sidebar_2`, `Overview_2`, mesas, reservas del día, correos, configuración; balance `EmployeeBalanceService`; cancelación con modal de motivo.  ### 4. Cobertura del bloque **NFF-VIG-*** frente al código  | Bloque documentado | Estado frente al repo | |--------------------|------------------------| | NFF-VIG-HOME | Coherente con `Home.tsx` + lazy sections + `HeroSection`/`SearchBar` (chips incompletos — ya marcado). | | NFF-VIG-SEARCH | Coherente con `Search.tsx` + `/top/paginado`. | | NFF-VIG-LOGIN / REG | Coherente; OAuth explícitamente no implementado. | | NFF-VIG-REST | Coherente; modales de confirmación en `Restaurant.tsx` no estaban desglosados en un NFF-VIG aparte — **detalle en §2**. | | NFF-VIG-PAY | Coherente; `checkout-page.tsx` legacy ya citado. | | NFF-VIG-CLIENT / APP | Coherente con `ProfileModal`, `paths.ts`, `CookieConsentModal`, `RoleEnforcer`. | | **Dashboards dueño/admin/empleado** | **No** tienen sub-bloque NFF-VIG-DASH propio; la funcionalidad aparece dispersa en **NFF legacy dueño (NFF-5xx–6xx)** con texto genérico “AdminDashboard, Dashboard, employee-dashboard”. El **anexo §2–3** es la referencia fina. | | **ViewEmailPage** | Ruta protegida; **no** hay ítem NFF-VIG dedicado; flujo de correo está en tabs dashboard + página `/ver-correo/:uid`. | | **Contacto / Ayuda** | Páginas existentes; muchos NFF legacy describen marketing/legal con plantilla repetida (“Google Sans…”). |  ### 5. Requisitos legacy (NFF-001 … NFF-883)  - Son sobre todo **especificaciones visuales** (colores hex, tamaños, modos claro/oscuro por pantalla). - El documento ya marca **Cubierto en la medida del diseño actual** o **Parcial** y repite la línea de **tokens** (`index.css`, Tailwind).</t>
        </is>
      </c>
      <c r="D893" s="218" t="n"/>
      <c r="E893" s="153" t="n"/>
      <c r="F893" s="55" t="inlineStr">
        <is>
          <t>x</t>
        </is>
      </c>
      <c r="G893" s="55" t="n"/>
      <c r="H893" s="55" t="n"/>
      <c r="I893" s="56" t="n"/>
      <c r="J893" s="121" t="n"/>
      <c r="K893" s="121" t="n"/>
      <c r="L893" s="121" t="n"/>
      <c r="M893" s="121" t="n"/>
    </row>
    <row r="894" ht="18.75" customHeight="1" s="215">
      <c r="A894" s="152" t="n"/>
      <c r="B894" s="149" t="n">
        <v>877</v>
      </c>
      <c r="C894" s="223" t="inlineStr">
        <is>
          <t>No** se pretende igualdad pixel-perfect con el Excel; la comparación útil es **rol + pantalla + flujo**, no cada RGB.  ### 6. Brechas o riesgos detectados (producto)  1. **`PersonalData.tsx` – ruta pública registrada; UI casi vacía — alineado con **NFF-VIG-CLIENT-03 Parcial**. 2. **Chips de búsqueda rápida en hero:** aún incompletos (**NFF-VIG-HOME-03**). 3. **OAuth:** explícitamente fuera de alcance (**NFF-VIG-LOGIN-05 / REG-05**). 4. **Dos piezas de checkout:** `CheckoutPage.tsx` vs `checkout-page.tsx` — ya documentado en NFF-VIG-PAY-02. 5. **Admin sin alta de restaurante:** coherente con rol; no es bug si el negocio lo define así.  ### 7. Mantenimiento recomendado del documento  - Tratar el **bloque NFF-VIG-*** + este **anexo** como **fuente de verdad** para SENA/evidencias de implementación. - Usar los **NFF-xxx** legacy solo como **histórico** o exportar a `REQ. funcionales Frontend.legacy.md` si se quiere acortar el archivo principal.  *Generado por contraste directo con el código en `frontend/src` (abril 2026).*</t>
        </is>
      </c>
      <c r="D894" s="218" t="n"/>
      <c r="E894" s="153" t="n"/>
      <c r="F894" s="55" t="inlineStr">
        <is>
          <t>x</t>
        </is>
      </c>
      <c r="G894" s="55" t="n"/>
      <c r="H894" s="55" t="n"/>
      <c r="I894" s="56" t="n"/>
      <c r="J894" s="121" t="n"/>
      <c r="K894" s="121" t="n"/>
      <c r="L894" s="121" t="n"/>
      <c r="M894" s="121" t="n"/>
    </row>
    <row r="895" ht="18.75" customHeight="1" s="215">
      <c r="A895" s="152" t="n"/>
      <c r="B895" s="149" t="n">
        <v>878</v>
      </c>
      <c r="C895" s="223" t="inlineStr">
        <is>
          <t>NFF – 841 – Cliente (Terminos y condiciones de uso) - modo oscuro – Barra de Navegación: Fondo transparente con logotipo "Reservify" y controles de tema (luna) visibles en la parte superior.</t>
        </is>
      </c>
      <c r="D895" s="218" t="n"/>
      <c r="E895" s="153" t="n"/>
      <c r="F895" s="55" t="inlineStr">
        <is>
          <t>x</t>
        </is>
      </c>
      <c r="G895" s="55" t="n"/>
      <c r="H895" s="55" t="n"/>
      <c r="I895" s="56" t="n"/>
      <c r="J895" s="121" t="n"/>
      <c r="K895" s="121" t="n"/>
      <c r="L895" s="121" t="n"/>
      <c r="M895" s="121" t="n"/>
    </row>
    <row r="896" ht="18.75" customHeight="1" s="215">
      <c r="A896" s="152" t="n"/>
      <c r="B896" s="149" t="n">
        <v>879</v>
      </c>
      <c r="C896" s="223" t="inlineStr">
        <is>
          <t>NFF – 842 – Cliente (Terminos y condiciones de uso) - modo oscuro – Botón de Navegación Secundaria: Botón "Volver al inicio" con fondo gris oscuro y bordes redondeados, ubicado sobre el título.</t>
        </is>
      </c>
      <c r="D896" s="218" t="n"/>
      <c r="E896" s="153" t="n"/>
      <c r="F896" s="55" t="inlineStr">
        <is>
          <t>x</t>
        </is>
      </c>
      <c r="G896" s="55" t="n"/>
      <c r="H896" s="55" t="n"/>
      <c r="I896" s="56" t="n"/>
      <c r="J896" s="121" t="n"/>
      <c r="K896" s="121" t="n"/>
      <c r="L896" s="121" t="n"/>
      <c r="M896" s="121" t="n"/>
    </row>
    <row r="897" ht="18.75" customHeight="1" s="215">
      <c r="A897" s="152" t="n"/>
      <c r="B897" s="149" t="n">
        <v>880</v>
      </c>
      <c r="C897" s="223" t="inlineStr">
        <is>
          <t>NFF – 843 – Cliente (Terminos y condiciones de uso) - modo oscuro – Efectos Visuales: Partículas mínimas en el fondo para mantener la estética "espacial" o de profundidad de la plataforma.</t>
        </is>
      </c>
      <c r="D897" s="218" t="n"/>
      <c r="E897" s="153" t="n"/>
      <c r="F897" s="55" t="inlineStr">
        <is>
          <t>x</t>
        </is>
      </c>
      <c r="G897" s="55" t="n"/>
      <c r="H897" s="55" t="n"/>
      <c r="I897" s="56" t="n"/>
      <c r="J897" s="121" t="n"/>
      <c r="K897" s="121" t="n"/>
      <c r="L897" s="121" t="n"/>
      <c r="M897" s="121" t="n"/>
    </row>
    <row r="898" ht="18.75" customHeight="1" s="215">
      <c r="A898" s="152" t="n"/>
      <c r="B898" s="149" t="n">
        <v>881</v>
      </c>
      <c r="C898" s="223" t="inlineStr">
        <is>
          <t>NFF – 844 – Cliente (Terminos y condiciones de uso) - modo claro – Fondo de la página: Degradado radial suave en tonos beige/crema claro hacia blanco.</t>
        </is>
      </c>
      <c r="D898" s="218" t="n"/>
      <c r="E898" s="153" t="n"/>
      <c r="F898" s="55" t="inlineStr">
        <is>
          <t>x</t>
        </is>
      </c>
      <c r="G898" s="55" t="n"/>
      <c r="H898" s="55" t="n"/>
      <c r="I898" s="56" t="n"/>
      <c r="J898" s="121" t="n"/>
      <c r="K898" s="121" t="n"/>
      <c r="L898" s="121" t="n"/>
      <c r="M898" s="121" t="n"/>
    </row>
    <row r="899" ht="18.75" customHeight="1" s="215">
      <c r="A899" s="152" t="n"/>
      <c r="B899" s="149" t="n">
        <v>882</v>
      </c>
      <c r="C899" s="223" t="inlineStr">
        <is>
          <t>NFF – 845 – Cliente (Terminos y condiciones de uso) - modo claro – Contenedor Legal: Fondo blanco sólido, border-radius de 12px y sombra sutil (drop shadow) para separación del fondo.</t>
        </is>
      </c>
      <c r="D899" s="218" t="n"/>
      <c r="E899" s="153" t="n"/>
      <c r="F899" s="55" t="inlineStr">
        <is>
          <t>x</t>
        </is>
      </c>
      <c r="G899" s="55" t="n"/>
      <c r="H899" s="55" t="n"/>
      <c r="I899" s="56" t="n"/>
      <c r="J899" s="121" t="n"/>
      <c r="K899" s="121" t="n"/>
      <c r="L899" s="121" t="n"/>
      <c r="M899" s="121" t="n"/>
    </row>
    <row r="900" ht="18.75" customHeight="1" s="215">
      <c r="A900" s="152" t="n"/>
      <c r="B900" s="149" t="n">
        <v>883</v>
      </c>
      <c r="C900" s="223" t="inlineStr">
        <is>
          <t>NFF – 846 – Cliente (Terminos y condiciones de uso) - modo claro – Título Principal: Texto "Términos y Condiciones de Uso" en azul marino oscuro (#2d3748) y peso bold.</t>
        </is>
      </c>
      <c r="D900" s="218" t="n"/>
      <c r="E900" s="153" t="n"/>
      <c r="F900" s="55" t="inlineStr">
        <is>
          <t>x</t>
        </is>
      </c>
      <c r="G900" s="55" t="n"/>
      <c r="H900" s="55" t="n"/>
      <c r="I900" s="56" t="n"/>
      <c r="J900" s="121" t="n"/>
      <c r="K900" s="121" t="n"/>
      <c r="L900" s="121" t="n"/>
      <c r="M900" s="121" t="n"/>
    </row>
    <row r="901" ht="18.75" customHeight="1" s="215">
      <c r="A901" s="152" t="n"/>
      <c r="B901" s="149" t="n">
        <v>884</v>
      </c>
      <c r="C901" s="223" t="inlineStr">
        <is>
          <t>NFF – 847 – Cliente (Terminos y condiciones de uso) - modo claro – Indicador de Versión: Texto de "Última actualización" en gris medio, centrado bajo el título principal.</t>
        </is>
      </c>
      <c r="D901" s="218" t="n"/>
      <c r="E901" s="153" t="n"/>
      <c r="F901" s="55" t="inlineStr">
        <is>
          <t>x</t>
        </is>
      </c>
      <c r="G901" s="55" t="n"/>
      <c r="H901" s="55" t="n"/>
      <c r="I901" s="56" t="n"/>
      <c r="J901" s="121" t="n"/>
      <c r="K901" s="121" t="n"/>
      <c r="L901" s="121" t="n"/>
      <c r="M901" s="121" t="n"/>
    </row>
    <row r="902" ht="18.75" customHeight="1" s="215">
      <c r="A902" s="152" t="n"/>
      <c r="B902" s="149" t="n">
        <v>885</v>
      </c>
      <c r="C902" s="223" t="inlineStr">
        <is>
          <t>NFF – 848 – Cliente (Terminos y condiciones de uso) - modo claro – Numeración de Secciones: Títulos de sección (1 al 10) en color oscuro y peso bold para resaltar la estructura del documento.</t>
        </is>
      </c>
      <c r="D902" s="218" t="n"/>
      <c r="E902" s="153" t="n"/>
      <c r="F902" s="55" t="inlineStr">
        <is>
          <t>x</t>
        </is>
      </c>
      <c r="G902" s="55" t="n"/>
      <c r="H902" s="55" t="n"/>
      <c r="I902" s="56" t="n"/>
      <c r="J902" s="121" t="n"/>
      <c r="K902" s="121" t="n"/>
      <c r="L902" s="121" t="n"/>
      <c r="M902" s="121" t="n"/>
    </row>
    <row r="903" ht="18.75" customHeight="1" s="215">
      <c r="A903" s="152" t="n"/>
      <c r="B903" s="149" t="n">
        <v>886</v>
      </c>
      <c r="C903" s="223" t="inlineStr">
        <is>
          <t>NFF – 849 – Cliente (Terminos y condiciones de uso) - modo claro – Cuerpo del Texto: Texto en gris oxford oscuro con interlineado amplio para mejorar la lectura de cláusulas legales.</t>
        </is>
      </c>
      <c r="D903" s="218" t="n"/>
      <c r="E903" s="153" t="n"/>
      <c r="F903" s="55" t="inlineStr">
        <is>
          <t>x</t>
        </is>
      </c>
      <c r="G903" s="55" t="n"/>
      <c r="H903" s="55" t="n"/>
      <c r="I903" s="56" t="n"/>
      <c r="J903" s="121" t="n"/>
      <c r="K903" s="121" t="n"/>
      <c r="L903" s="121" t="n"/>
      <c r="M903" s="121" t="n"/>
    </row>
    <row r="904" ht="18.75" customHeight="1" s="215">
      <c r="A904" s="152" t="n"/>
      <c r="B904" s="149" t="n">
        <v>887</v>
      </c>
      <c r="C904" s="223" t="inlineStr">
        <is>
          <t>NFF – 850 – Cliente (Terminos y condiciones de uso) - modo claro – Barra de Navegación (Navbar): Fondo blanco/transparente con logotipo "Reservify" y controles alineados a los extremos.</t>
        </is>
      </c>
      <c r="D904" s="218" t="n"/>
      <c r="E904" s="153" t="n"/>
      <c r="F904" s="55" t="inlineStr">
        <is>
          <t>x</t>
        </is>
      </c>
      <c r="G904" s="55" t="n"/>
      <c r="H904" s="55" t="n"/>
      <c r="I904" s="56" t="n"/>
      <c r="J904" s="121" t="n"/>
      <c r="K904" s="121" t="n"/>
      <c r="L904" s="121" t="n"/>
      <c r="M904" s="121" t="n"/>
    </row>
    <row r="905" ht="18.75" customHeight="1" s="215">
      <c r="A905" s="152" t="n"/>
      <c r="B905" s="149" t="n">
        <v>888</v>
      </c>
      <c r="C905" s="223" t="inlineStr">
        <is>
          <t>NFF – 851 – Cliente (Terminos y condiciones de uso) - modo claro – Botones de Sesión: Botón "Iniciar Sesión" con borde definido; botón "Registrarse" con fondo verde pastel (#a8c2b1).</t>
        </is>
      </c>
      <c r="D905" s="218" t="n"/>
      <c r="E905" s="153" t="n"/>
      <c r="F905" s="55" t="inlineStr">
        <is>
          <t>x</t>
        </is>
      </c>
      <c r="G905" s="55" t="n"/>
      <c r="H905" s="55" t="n"/>
      <c r="I905" s="56" t="n"/>
      <c r="J905" s="121" t="n"/>
      <c r="K905" s="121" t="n"/>
      <c r="L905" s="121" t="n"/>
      <c r="M905" s="121" t="n"/>
    </row>
    <row r="906" ht="18.75" customHeight="1" s="215">
      <c r="A906" s="152" t="n"/>
      <c r="B906" s="149" t="n">
        <v>889</v>
      </c>
      <c r="C906" s="223" t="inlineStr">
        <is>
          <t>NFF – 852 – Cliente (Terminos y condiciones de uso) - modo claro – Selector de Tema: Icono de sol/brillo centrado indicando el estado activo del modo claro.</t>
        </is>
      </c>
      <c r="D906" s="218" t="n"/>
      <c r="E906" s="153" t="n"/>
      <c r="F906" s="55" t="inlineStr">
        <is>
          <t>x</t>
        </is>
      </c>
      <c r="G906" s="55" t="n"/>
      <c r="H906" s="55" t="n"/>
      <c r="I906" s="56" t="n"/>
      <c r="J906" s="121" t="n"/>
      <c r="K906" s="121" t="n"/>
      <c r="L906" s="121" t="n"/>
      <c r="M906" s="121" t="n"/>
    </row>
    <row r="907" ht="18.75" customHeight="1" s="215">
      <c r="A907" s="152" t="n"/>
      <c r="B907" s="149" t="n">
        <v>890</v>
      </c>
      <c r="C907" s="223" t="inlineStr">
        <is>
          <t>NFF – 853 – Cliente (Terminos y condiciones de uso) - modo claro – Espaciado Táctil: Margen interno (padding) amplio para evitar que el texto toque los bordes del contenedor blanco.</t>
        </is>
      </c>
      <c r="D907" s="218" t="n"/>
      <c r="E907" s="153" t="n"/>
      <c r="F907" s="55" t="inlineStr">
        <is>
          <t>x</t>
        </is>
      </c>
      <c r="G907" s="55" t="n"/>
      <c r="H907" s="55" t="n"/>
      <c r="I907" s="56" t="n"/>
      <c r="J907" s="121" t="n"/>
      <c r="K907" s="121" t="n"/>
      <c r="L907" s="121" t="n"/>
      <c r="M907" s="121" t="n"/>
    </row>
    <row r="908" ht="18.75" customHeight="1" s="215">
      <c r="A908" s="152" t="n"/>
      <c r="B908" s="149" t="n">
        <v>891</v>
      </c>
      <c r="C908" s="223" t="inlineStr">
        <is>
          <t>NFF – 854 – Cliente (Politica y privacidad) - modo claro – Fondo de la página: Degradado radial suave en tonos beige/crema claro hacia blanco.</t>
        </is>
      </c>
      <c r="D908" s="218" t="n"/>
      <c r="E908" s="153" t="n"/>
      <c r="F908" s="55" t="inlineStr">
        <is>
          <t>x</t>
        </is>
      </c>
      <c r="G908" s="55" t="n"/>
      <c r="H908" s="55" t="n"/>
      <c r="I908" s="56" t="n"/>
      <c r="J908" s="121" t="n"/>
      <c r="K908" s="121" t="n"/>
      <c r="L908" s="121" t="n"/>
      <c r="M908" s="121" t="n"/>
    </row>
    <row r="909" ht="18.75" customHeight="1" s="215">
      <c r="A909" s="152" t="n"/>
      <c r="B909" s="149" t="n">
        <v>892</v>
      </c>
      <c r="C909" s="223" t="inlineStr">
        <is>
          <t>NFF – 855 – Cliente (Politica y privacidad) - modo claro – Contenedor Principal: Fondo blanco sólido, border-radius de 12px y sombra sutil para profundidad.</t>
        </is>
      </c>
      <c r="D909" s="218" t="n"/>
      <c r="E909" s="153" t="n"/>
      <c r="F909" s="55" t="inlineStr">
        <is>
          <t>x</t>
        </is>
      </c>
      <c r="G909" s="55" t="n"/>
      <c r="H909" s="55" t="n"/>
      <c r="I909" s="56" t="n"/>
      <c r="J909" s="121" t="n"/>
      <c r="K909" s="121" t="n"/>
      <c r="L909" s="121" t="n"/>
      <c r="M909" s="121" t="n"/>
    </row>
    <row r="910" ht="18.75" customHeight="1" s="215">
      <c r="A910" s="152" t="n"/>
      <c r="B910" s="149" t="n">
        <v>893</v>
      </c>
      <c r="C910" s="223" t="inlineStr">
        <is>
          <t>NFF – 856 – Cliente (Politica y privacidad) - modo claro – Título de Sección: Texto "Política de Privacidad" en color azul marino oscuro (#2d3748) y peso bold.</t>
        </is>
      </c>
      <c r="D910" s="218" t="n"/>
      <c r="E910" s="153" t="n"/>
      <c r="F910" s="55" t="inlineStr">
        <is>
          <t>x</t>
        </is>
      </c>
      <c r="G910" s="55" t="n"/>
      <c r="H910" s="55" t="n"/>
      <c r="I910" s="56" t="n"/>
      <c r="J910" s="121" t="n"/>
      <c r="K910" s="121" t="n"/>
      <c r="L910" s="121" t="n"/>
      <c r="M910" s="121" t="n"/>
    </row>
    <row r="911" ht="18.75" customHeight="1" s="215">
      <c r="A911" s="152" t="n"/>
      <c r="B911" s="149" t="n">
        <v>894</v>
      </c>
      <c r="C911" s="223" t="inlineStr">
        <is>
          <t>NFF – 857 – Cliente (Politica y privacidad) - modo claro – Bajada de Título: Texto descriptivo breve en gris medio centrado debajo del título principal.</t>
        </is>
      </c>
      <c r="D911" s="218" t="n"/>
      <c r="E911" s="153" t="n"/>
      <c r="F911" s="55" t="inlineStr">
        <is>
          <t>x</t>
        </is>
      </c>
      <c r="G911" s="55" t="n"/>
      <c r="H911" s="55" t="n"/>
      <c r="I911" s="56" t="n"/>
      <c r="J911" s="121" t="n"/>
      <c r="K911" s="121" t="n"/>
      <c r="L911" s="121" t="n"/>
      <c r="M911" s="121" t="n"/>
    </row>
    <row r="912" ht="18.75" customHeight="1" s="215">
      <c r="A912" s="152" t="n"/>
      <c r="B912" s="149" t="n">
        <v>895</v>
      </c>
      <c r="C912" s="223" t="inlineStr">
        <is>
          <t>NFF – 858 – Cliente (Politica y privacidad) - modo claro – Estructura de Puntos: Numeración (1 al 10) en color oscuro y peso bold para facilitar la navegación rápida.</t>
        </is>
      </c>
      <c r="D912" s="218" t="n"/>
      <c r="E912" s="153" t="n"/>
      <c r="F912" s="55" t="inlineStr">
        <is>
          <t>x</t>
        </is>
      </c>
      <c r="G912" s="55" t="n"/>
      <c r="H912" s="55" t="n"/>
      <c r="I912" s="56" t="n"/>
      <c r="J912" s="121" t="n"/>
      <c r="K912" s="121" t="n"/>
      <c r="L912" s="121" t="n"/>
      <c r="M912" s="121" t="n"/>
    </row>
    <row r="913" ht="18.75" customHeight="1" s="215">
      <c r="A913" s="152" t="n"/>
      <c r="B913" s="149" t="n">
        <v>896</v>
      </c>
      <c r="C913" s="223" t="inlineStr">
        <is>
          <t>NFF – 859 – Cliente (Politica y privacidad) - modo claro – Cuerpo de Texto: Texto en gris oxford con interlineado (line-height) generoso para mejorar la legibilidad.</t>
        </is>
      </c>
      <c r="D913" s="218" t="n"/>
      <c r="E913" s="153" t="n"/>
      <c r="F913" s="55" t="inlineStr">
        <is>
          <t>x</t>
        </is>
      </c>
      <c r="G913" s="55" t="n"/>
      <c r="H913" s="55" t="n"/>
      <c r="I913" s="56" t="n"/>
      <c r="J913" s="121" t="n"/>
      <c r="K913" s="121" t="n"/>
      <c r="L913" s="121" t="n"/>
      <c r="M913" s="121" t="n"/>
    </row>
    <row r="914" ht="18.75" customHeight="1" s="215">
      <c r="A914" s="152" t="n"/>
      <c r="B914" s="149" t="n">
        <v>897</v>
      </c>
      <c r="C914" s="223" t="inlineStr">
        <is>
          <t>NFF – 860 – Cliente (Politica y privacidad) - modo claro – Barra de Navegación (Navbar): Logotipo "Reservify" a la izquierda; botones "Iniciar Sesión" (oscuro) y "Registrarse" (verde pastel) a la derecha.</t>
        </is>
      </c>
      <c r="D914" s="218" t="n"/>
      <c r="E914" s="153" t="n"/>
      <c r="F914" s="55" t="inlineStr">
        <is>
          <t>x</t>
        </is>
      </c>
      <c r="G914" s="55" t="n"/>
      <c r="H914" s="55" t="n"/>
      <c r="I914" s="56" t="n"/>
      <c r="J914" s="121" t="n"/>
      <c r="K914" s="121" t="n"/>
      <c r="L914" s="121" t="n"/>
      <c r="M914" s="121" t="n"/>
    </row>
    <row r="915" ht="18.75" customHeight="1" s="215">
      <c r="A915" s="152" t="n"/>
      <c r="B915" s="149" t="n">
        <v>898</v>
      </c>
      <c r="C915" s="223" t="inlineStr">
        <is>
          <t>NFF – 861 – Cliente (Politica y privacidad) - modo claro – Selector de Tema: Icono de sol/brillo centrado en el Navbar para control de alternancia lumínica.</t>
        </is>
      </c>
      <c r="D915" s="218" t="n"/>
      <c r="E915" s="153" t="n"/>
      <c r="F915" s="55" t="inlineStr">
        <is>
          <t>x</t>
        </is>
      </c>
      <c r="G915" s="55" t="n"/>
      <c r="H915" s="55" t="n"/>
      <c r="I915" s="56" t="n"/>
      <c r="J915" s="121" t="n"/>
      <c r="K915" s="121" t="n"/>
      <c r="L915" s="121" t="n"/>
      <c r="M915" s="121" t="n"/>
    </row>
    <row r="916" ht="18.75" customHeight="1" s="215">
      <c r="A916" s="152" t="n"/>
      <c r="B916" s="149" t="n">
        <v>899</v>
      </c>
      <c r="C916" s="223" t="inlineStr">
        <is>
          <t>NFF – 862 – Cliente (Politica y privacidad) - modo claro – Márgenes Internos: Padding amplio dentro del contenedor para evitar que el texto se acerque a los bordes curvos.</t>
        </is>
      </c>
      <c r="D916" s="218" t="n"/>
      <c r="E916" s="153" t="n"/>
      <c r="F916" s="55" t="inlineStr">
        <is>
          <t>x</t>
        </is>
      </c>
      <c r="G916" s="55" t="n"/>
      <c r="H916" s="55" t="n"/>
      <c r="I916" s="56" t="n"/>
      <c r="J916" s="121" t="n"/>
      <c r="K916" s="121" t="n"/>
      <c r="L916" s="121" t="n"/>
      <c r="M916" s="121" t="n"/>
    </row>
    <row r="917" ht="18.75" customHeight="1" s="215">
      <c r="A917" s="152" t="n"/>
      <c r="B917" s="149" t="n">
        <v>900</v>
      </c>
      <c r="C917" s="223" t="inlineStr">
        <is>
          <t>NFF – 863 – Cliente (Politica y privacidad) - modo claro – Consistencia Visual: Uso de la misma paleta de colores crema y blanco empleada en la página de Términos y Condiciones.</t>
        </is>
      </c>
      <c r="D917" s="218" t="n"/>
      <c r="E917" s="153" t="n"/>
      <c r="F917" s="55" t="inlineStr">
        <is>
          <t>x</t>
        </is>
      </c>
      <c r="G917" s="55" t="n"/>
      <c r="H917" s="55" t="n"/>
      <c r="I917" s="56" t="n"/>
      <c r="J917" s="121" t="n"/>
      <c r="K917" s="121" t="n"/>
      <c r="L917" s="121" t="n"/>
      <c r="M917" s="121" t="n"/>
    </row>
    <row r="918" ht="18.75" customHeight="1" s="215">
      <c r="A918" s="152" t="n"/>
      <c r="B918" s="149" t="n">
        <v>901</v>
      </c>
      <c r="C918" s="223" t="inlineStr">
        <is>
          <t>NFF – 874 – Cliente (Politica y privacidad) - modo oscuro – Fondo de la página: Color negro sólido (#0a0a0a) con degradado ocre/tierra en la parte inferior.</t>
        </is>
      </c>
      <c r="D918" s="218" t="n"/>
      <c r="E918" s="153" t="n"/>
      <c r="F918" s="55" t="inlineStr">
        <is>
          <t>x</t>
        </is>
      </c>
      <c r="G918" s="55" t="n"/>
      <c r="H918" s="55" t="n"/>
      <c r="I918" s="56" t="n"/>
      <c r="J918" s="121" t="n"/>
      <c r="K918" s="121" t="n"/>
      <c r="L918" s="121" t="n"/>
      <c r="M918" s="121" t="n"/>
    </row>
    <row r="919" ht="18.75" customHeight="1" s="215">
      <c r="A919" s="152" t="n"/>
      <c r="B919" s="149" t="n">
        <v>902</v>
      </c>
      <c r="C919" s="223" t="inlineStr">
        <is>
          <t>NFF – 875 – Cliente (Politica y privacidad) - modo oscuro – Contenedor Principal: Fondo gris muy oscuro, border-radius de 12px y borde sutil para definición sobre el fondo negro.</t>
        </is>
      </c>
      <c r="D919" s="218" t="n"/>
      <c r="E919" s="153" t="n"/>
      <c r="F919" s="55" t="inlineStr">
        <is>
          <t>x</t>
        </is>
      </c>
      <c r="G919" s="55" t="n"/>
      <c r="H919" s="55" t="n"/>
      <c r="I919" s="56" t="n"/>
      <c r="J919" s="121" t="n"/>
      <c r="K919" s="121" t="n"/>
      <c r="L919" s="121" t="n"/>
      <c r="M919" s="121" t="n"/>
    </row>
    <row r="920" ht="18.75" customHeight="1" s="215">
      <c r="A920" s="152" t="n"/>
      <c r="B920" s="149" t="n">
        <v>903</v>
      </c>
      <c r="C920" s="223" t="inlineStr">
        <is>
          <t>NFF – 876 – Cliente (Politica y privacidad) - modo oscuro – Título de Sección: Texto "Política de Privacidad" en blanco puro, peso bold y fuente sans-serif.</t>
        </is>
      </c>
      <c r="D920" s="218" t="n"/>
      <c r="E920" s="153" t="n"/>
      <c r="F920" s="55" t="inlineStr">
        <is>
          <t>x</t>
        </is>
      </c>
      <c r="G920" s="55" t="n"/>
      <c r="H920" s="55" t="n"/>
      <c r="I920" s="56" t="n"/>
      <c r="J920" s="121" t="n"/>
      <c r="K920" s="121" t="n"/>
      <c r="L920" s="121" t="n"/>
      <c r="M920" s="121" t="n"/>
    </row>
    <row r="921" ht="18.75" customHeight="1" s="215">
      <c r="A921" s="152" t="n"/>
      <c r="B921" s="149" t="n">
        <v>904</v>
      </c>
      <c r="C921" s="223" t="inlineStr">
        <is>
          <t>NFF – 877 – Cliente (Politica y privacidad) - modo oscuro – Bajada de Título: Texto descriptivo en gris claro centrado debajo del título principal para contexto inmediato.</t>
        </is>
      </c>
      <c r="D921" s="218" t="n"/>
      <c r="E921" s="153" t="n"/>
      <c r="F921" s="55" t="inlineStr">
        <is>
          <t>x</t>
        </is>
      </c>
      <c r="G921" s="55" t="n"/>
      <c r="H921" s="55" t="n"/>
      <c r="I921" s="56" t="n"/>
      <c r="J921" s="121" t="n"/>
      <c r="K921" s="121" t="n"/>
      <c r="L921" s="121" t="n"/>
      <c r="M921" s="121" t="n"/>
    </row>
    <row r="922" ht="18.75" customHeight="1" s="215">
      <c r="A922" s="152" t="n"/>
      <c r="B922" s="149" t="n">
        <v>905</v>
      </c>
      <c r="C922" s="223" t="inlineStr">
        <is>
          <t>NFF – 878 – Cliente (Politica y privacidad) - modo oscuro – Estructura de Puntos: Títulos numerados (1 al 10) en blanco puro y peso bold para resaltar la jerarquía legal.</t>
        </is>
      </c>
      <c r="D922" s="218" t="n"/>
      <c r="E922" s="153" t="n"/>
      <c r="F922" s="55" t="inlineStr">
        <is>
          <t>x</t>
        </is>
      </c>
      <c r="G922" s="55" t="n"/>
      <c r="H922" s="55" t="n"/>
      <c r="I922" s="56" t="n"/>
      <c r="J922" s="121" t="n"/>
      <c r="K922" s="121" t="n"/>
      <c r="L922" s="121" t="n"/>
      <c r="M922" s="121" t="n"/>
    </row>
    <row r="923" ht="18.75" customHeight="1" s="215">
      <c r="A923" s="152" t="n"/>
      <c r="B923" s="149" t="n">
        <v>906</v>
      </c>
      <c r="C923" s="223" t="inlineStr">
        <is>
          <t>NFF – 879 – Cliente (Politica y privacidad) - modo oscuro – Cuerpo de Texto: Texto en gris claro con interlineado (line-height) amplio para facilitar la lectura de párrafos densos.</t>
        </is>
      </c>
      <c r="D923" s="218" t="n"/>
      <c r="E923" s="153" t="n"/>
      <c r="F923" s="55" t="inlineStr">
        <is>
          <t>x</t>
        </is>
      </c>
      <c r="G923" s="55" t="n"/>
      <c r="H923" s="55" t="n"/>
      <c r="I923" s="56" t="n"/>
      <c r="J923" s="121" t="n"/>
      <c r="K923" s="121" t="n"/>
      <c r="L923" s="121" t="n"/>
      <c r="M923" s="121" t="n"/>
    </row>
    <row r="924" ht="18.75" customHeight="1" s="215">
      <c r="A924" s="152" t="n"/>
      <c r="B924" s="149" t="n">
        <v>907</v>
      </c>
      <c r="C924" s="223" t="inlineStr">
        <is>
          <t>NFF – 880 – Cliente (Politica y privacidad) - modo oscuro – Barra de Navegación (Navbar): Logotipo "Reservify" (blanco); botones de acción "Iniciar Sesión" (blanco) y "Registrarse" (ocre/dorado).</t>
        </is>
      </c>
      <c r="D924" s="218" t="n"/>
      <c r="E924" s="153" t="n"/>
      <c r="F924" s="55" t="inlineStr">
        <is>
          <t>x</t>
        </is>
      </c>
      <c r="G924" s="55" t="n"/>
      <c r="H924" s="55" t="n"/>
      <c r="I924" s="56" t="n"/>
      <c r="J924" s="121" t="n"/>
      <c r="K924" s="121" t="n"/>
      <c r="L924" s="121" t="n"/>
      <c r="M924" s="121" t="n"/>
    </row>
    <row r="925" ht="18.75" customHeight="1" s="215">
      <c r="A925" s="152" t="n"/>
      <c r="B925" s="149" t="n">
        <v>908</v>
      </c>
      <c r="C925" s="223" t="inlineStr">
        <is>
          <t>NFF – 881 – Cliente (Politica y privacidad) - modo oscuro – Selector de Tema: Icono de luna en el Navbar indicando el estado activo del modo oscuro.</t>
        </is>
      </c>
      <c r="D925" s="218" t="n"/>
      <c r="E925" s="153" t="n"/>
      <c r="F925" s="55" t="inlineStr">
        <is>
          <t>x</t>
        </is>
      </c>
      <c r="G925" s="55" t="n"/>
      <c r="H925" s="55" t="n"/>
      <c r="I925" s="56" t="n"/>
      <c r="J925" s="121" t="n"/>
      <c r="K925" s="121" t="n"/>
      <c r="L925" s="121" t="n"/>
      <c r="M925" s="121" t="n"/>
    </row>
    <row r="926" ht="18.75" customHeight="1" s="215">
      <c r="A926" s="152" t="n"/>
      <c r="B926" s="149" t="n">
        <v>909</v>
      </c>
      <c r="C926" s="223" t="inlineStr">
        <is>
          <t>NFF – 882 – Cliente (Politica y privacidad) - modo oscuro – Márgenes Internos: Espaciado (padding) generoso para evitar que el texto toque los bordes del contenedor.</t>
        </is>
      </c>
      <c r="D926" s="218" t="n"/>
      <c r="E926" s="153" t="n"/>
      <c r="F926" s="55" t="inlineStr">
        <is>
          <t>x</t>
        </is>
      </c>
      <c r="G926" s="55" t="n"/>
      <c r="H926" s="55" t="n"/>
      <c r="I926" s="56" t="n"/>
      <c r="J926" s="121" t="n"/>
      <c r="K926" s="121" t="n"/>
      <c r="L926" s="121" t="n"/>
      <c r="M926" s="121" t="n"/>
    </row>
    <row r="927" ht="18.75" customHeight="1" s="215">
      <c r="A927" s="152" t="n"/>
      <c r="B927" s="149" t="n">
        <v>910</v>
      </c>
      <c r="C927" s="223" t="inlineStr">
        <is>
          <t>NFF – 883 – Cliente (Politica y privacidad) - modo oscuro – Elementos Decorativos: Partículas mínimas dispersas en el fondo para mantener la coherencia estética del sitio.</t>
        </is>
      </c>
      <c r="D927" s="218" t="n"/>
      <c r="E927" s="153" t="n"/>
      <c r="F927" s="55" t="inlineStr">
        <is>
          <t>x</t>
        </is>
      </c>
      <c r="G927" s="55" t="n"/>
      <c r="H927" s="55" t="n"/>
      <c r="I927" s="56" t="n"/>
      <c r="J927" s="121" t="n"/>
      <c r="K927" s="121" t="n"/>
      <c r="L927" s="121" t="n"/>
      <c r="M927" s="121" t="n"/>
    </row>
    <row r="928" ht="18.75" customHeight="1" s="215">
      <c r="A928" s="152" t="n"/>
      <c r="B928" s="149" t="n">
        <v>911</v>
      </c>
      <c r="C928" s="223" t="inlineStr">
        <is>
          <t>Dueño (`Dashboard.tsx`) – sidebar `app-sidebar.tsx`, pestañas típicas: resumen, restaurantes, reservas, clientes, facturación, correos, configuración; métricas `OwnerMetricsService`, `OwnerMonthlyFlowService`, tablas reservas/facturas, export CSV, PDF cliente (`OwnerInvoicesService`). Modales: **AddRestaurant**, **RestaurantConfig**, **RestaurantReservations**, **AllReservations**, **InvoiceDetail**.</t>
        </is>
      </c>
      <c r="D928" s="218" t="n"/>
      <c r="E928" s="153" t="n"/>
      <c r="F928" s="55" t="inlineStr">
        <is>
          <t>x</t>
        </is>
      </c>
      <c r="G928" s="55" t="n"/>
      <c r="H928" s="55" t="n"/>
      <c r="I928" s="56" t="n"/>
      <c r="J928" s="121" t="n"/>
      <c r="K928" s="121" t="n"/>
      <c r="L928" s="121" t="n"/>
      <c r="M928" s="121" t="n"/>
    </row>
    <row r="929" ht="18.75" customHeight="1" s="215">
      <c r="A929" s="152" t="n"/>
      <c r="B929" s="149" t="n">
        <v>912</v>
      </c>
      <c r="C929" s="223" t="inlineStr">
        <is>
          <t>Administrador (`AdminDashboard.tsx`) – mismo patrón visual con **un restaurante**; **no** incluye `AddRestaurantModal` ni `RestaurantReservationsModal` (solo gestión sobre el local asignado: config, reservas globales modal, facturas, correos).</t>
        </is>
      </c>
      <c r="D929" s="218" t="n"/>
      <c r="E929" s="153" t="n"/>
      <c r="F929" s="55" t="inlineStr">
        <is>
          <t>x</t>
        </is>
      </c>
      <c r="G929" s="55" t="n"/>
      <c r="H929" s="55" t="n"/>
      <c r="I929" s="56" t="n"/>
      <c r="J929" s="121" t="n"/>
      <c r="K929" s="121" t="n"/>
      <c r="L929" s="121" t="n"/>
      <c r="M929" s="121" t="n"/>
    </row>
    <row r="930" ht="18.75" customHeight="1" s="215">
      <c r="A930" s="152" t="n"/>
      <c r="B930" s="149" t="n">
        <v>913</v>
      </c>
      <c r="C930" s="223" t="inlineStr">
        <is>
          <t>Empleado (`employee-dashboard.tsx`) – `Sidebar_2`, `Overview_2`, mesas, reservas del día, correos, configuración; balance `EmployeeBalanceService`; cancelación con modal de motivo.  ### 4. Cobertura del bloque **NFF-VIG-*** frente al código  | Bloque documentado | Estado frente al repo | |--------------------|------------------------| | NFF-VIG-HOME | Coherente con `Home.tsx` + lazy sections + `HeroSection`/`SearchBar` (chips incompletos — ya marcado). | | NFF-VIG-SEARCH | Coherente con `Search.tsx` + `/top/paginado`. | | NFF-VIG-LOGIN / REG | Coherente; OAuth explícitamente no implementado. | | NFF-VIG-REST | Coherente; modales de confirmación en `Restaurant.tsx` no estaban desglosados en un NFF-VIG aparte — **detalle en §2**. | | NFF-VIG-PAY | Coherente; `checkout-page.tsx` legacy ya citado. | | NFF-VIG-CLIENT / APP | Coherente con `ProfileModal`, `paths.ts`, `CookieConsentModal`, `RoleEnforcer`. | | **Dashboards dueño/admin/empleado** | **No** tienen sub-bloque NFF-VIG-DASH propio; la funcionalidad aparece dispersa en **NFF legacy dueño (NFF-5xx–6xx)** con texto genérico “AdminDashboard, Dashboard, employee-dashboard”. El **anexo §2–3** es la referencia fina. | | **ViewEmailPage** | Ruta protegida; **no** hay ítem NFF-VIG dedicado; flujo de correo está en tabs dashboard + página `/ver-correo/:uid`. | | **Contacto / Ayuda** | Páginas existentes; muchos NFF legacy describen marketing/legal con plantilla repetida (“Google Sans…”). |  ### 5. Requisitos legacy (NFF-001 … NFF-883)  - Son sobre todo **especificaciones visuales** (colores hex, tamaños, modos claro/oscuro por pantalla). - El documento ya marca **Cubierto en la medida del diseño actual** o **Parcial** y repite la línea de **tokens** (`index.css`, Tailwind).</t>
        </is>
      </c>
      <c r="D930" s="218" t="n"/>
      <c r="E930" s="153" t="n"/>
      <c r="F930" s="55" t="inlineStr">
        <is>
          <t>x</t>
        </is>
      </c>
      <c r="G930" s="55" t="n"/>
      <c r="H930" s="55" t="n"/>
      <c r="I930" s="56" t="n"/>
      <c r="J930" s="121" t="n"/>
      <c r="K930" s="121" t="n"/>
      <c r="L930" s="121" t="n"/>
      <c r="M930" s="121" t="n"/>
    </row>
    <row r="931" ht="18.75" customHeight="1" s="215">
      <c r="A931" s="152" t="n"/>
      <c r="B931" s="149" t="n">
        <v>914</v>
      </c>
      <c r="C931" s="223" t="inlineStr">
        <is>
          <t>No** se pretende igualdad pixel-perfect con el Excel; la comparación útil es **rol + pantalla + flujo**, no cada RGB.  ### 6. Brechas o riesgos detectados (producto)  1. **`PersonalData.tsx` – ruta pública registrada; UI casi vacía — alineado con **NFF-VIG-CLIENT-03 Parcial**. 2. **Chips de búsqueda rápida en hero:** aún incompletos (**NFF-VIG-HOME-03**). 3. **OAuth:** explícitamente fuera de alcance (**NFF-VIG-LOGIN-05 / REG-05**). 4. **Dos piezas de checkout:** `CheckoutPage.tsx` vs `checkout-page.tsx` — ya documentado en NFF-VIG-PAY-02. 5. **Admin sin alta de restaurante:** coherente con rol; no es bug si el negocio lo define así.  ### 7. Mantenimiento recomendado del documento  - Tratar el **bloque NFF-VIG-*** + este **anexo** como **fuente de verdad** para SENA/evidencias de implementación. - Usar los **NFF-xxx** legacy solo como **histórico** o exportar a `REQ. funcionales Frontend.legacy.md` si se quiere acortar el archivo principal.  *Generado por contraste directo con el código en `frontend/src` (abril 2026).*</t>
        </is>
      </c>
      <c r="D931" s="218" t="n"/>
      <c r="E931" s="153" t="n"/>
      <c r="F931" s="55" t="inlineStr">
        <is>
          <t>x</t>
        </is>
      </c>
      <c r="G931" s="55" t="n"/>
      <c r="H931" s="55" t="n"/>
      <c r="I931" s="56" t="n"/>
      <c r="J931" s="121" t="n"/>
      <c r="K931" s="121" t="n"/>
      <c r="L931" s="121" t="n"/>
      <c r="M931" s="121" t="n"/>
    </row>
    <row r="932" ht="36.75" customHeight="1" s="215">
      <c r="B932" s="209" t="n">
        <v>795</v>
      </c>
      <c r="C932" s="253" t="inlineStr">
        <is>
          <t>Contenedores de información: Fondo gris muy oscuro, border-radius de 12px y degradados sutiles en tonos ocres/rojos.</t>
        </is>
      </c>
      <c r="D932" s="254" t="n"/>
      <c r="E932" s="121" t="n"/>
      <c r="F932" s="57" t="inlineStr">
        <is>
          <t>x</t>
        </is>
      </c>
      <c r="G932" s="57" t="n"/>
      <c r="H932" s="57" t="n"/>
      <c r="I932" s="57" t="n"/>
      <c r="J932" s="121" t="n"/>
      <c r="K932" s="121" t="n"/>
      <c r="L932" s="121" t="n"/>
      <c r="M932" s="121" t="n"/>
    </row>
    <row r="933" ht="39" customHeight="1" s="215">
      <c r="B933" s="209" t="n">
        <v>796</v>
      </c>
      <c r="C933" s="253" t="inlineStr">
        <is>
          <t>Detalles y etiquetas: Etiquetas en gris claro y valores en blanco con peso bold.</t>
        </is>
      </c>
      <c r="D933" s="254" t="n"/>
      <c r="E933" s="121" t="n"/>
      <c r="F933" s="57" t="inlineStr">
        <is>
          <t>x</t>
        </is>
      </c>
      <c r="G933" s="57" t="n"/>
      <c r="H933" s="57" t="n"/>
      <c r="I933" s="57" t="n"/>
      <c r="J933" s="121" t="n"/>
      <c r="K933" s="121" t="n"/>
      <c r="L933" s="121" t="n"/>
      <c r="M933" s="121" t="n"/>
    </row>
    <row r="934" ht="36.75" customHeight="1" s="215">
      <c r="B934" s="209" t="n">
        <v>797</v>
      </c>
      <c r="C934" s="253" t="inlineStr">
        <is>
          <t>Resaltado de valores críticos: Texto de montos o totales en color rojo intenso y peso bold.</t>
        </is>
      </c>
      <c r="D934" s="254" t="n"/>
      <c r="E934" s="121" t="n"/>
      <c r="F934" s="57" t="inlineStr">
        <is>
          <t>x</t>
        </is>
      </c>
      <c r="G934" s="57" t="n"/>
      <c r="H934" s="57" t="n"/>
      <c r="I934" s="57" t="n"/>
      <c r="J934" s="121" t="n"/>
      <c r="K934" s="121" t="n"/>
      <c r="L934" s="121" t="n"/>
      <c r="M934" s="121" t="n"/>
    </row>
    <row r="935" ht="37.5" customHeight="1" s="215">
      <c r="B935" s="209" t="n">
        <v>798</v>
      </c>
      <c r="C935" s="253" t="inlineStr">
        <is>
          <t>Elementos de selección: Fondo gris oscuro con bordes y checks en color rojo para la opción seleccionada.</t>
        </is>
      </c>
      <c r="D935" s="254" t="n"/>
      <c r="E935" s="121" t="n"/>
      <c r="F935" s="57" t="inlineStr">
        <is>
          <t>x</t>
        </is>
      </c>
      <c r="G935" s="57" t="n"/>
      <c r="H935" s="57" t="n"/>
      <c r="I935" s="57" t="n"/>
      <c r="J935" s="121" t="n"/>
      <c r="K935" s="121" t="n"/>
      <c r="L935" s="121" t="n"/>
      <c r="M935" s="121" t="n"/>
    </row>
    <row r="936" ht="40.5" customHeight="1" s="215">
      <c r="B936" s="209" t="n">
        <v>799</v>
      </c>
      <c r="C936" s="253" t="inlineStr">
        <is>
          <t>Campos de entrada (Inputs): Fondo negro sólido, bordes gris oscuro sutiles y texto/placeholders en gris claro.</t>
        </is>
      </c>
      <c r="D936" s="254" t="n"/>
      <c r="E936" s="121" t="n"/>
      <c r="F936" s="57" t="inlineStr">
        <is>
          <t>x</t>
        </is>
      </c>
      <c r="G936" s="57" t="n"/>
      <c r="H936" s="57" t="n"/>
      <c r="I936" s="57" t="n"/>
      <c r="J936" s="121" t="n"/>
      <c r="K936" s="121" t="n"/>
      <c r="L936" s="121" t="n"/>
      <c r="M936" s="121" t="n"/>
    </row>
    <row r="937" ht="39" customHeight="1" s="215">
      <c r="B937" s="209" t="n">
        <v>800</v>
      </c>
      <c r="C937" s="253" t="inlineStr">
        <is>
          <t>Bloques de seguridad: Fondo rojo muy oscuro con iconos de candado y texto en gris claro.</t>
        </is>
      </c>
      <c r="D937" s="254" t="n"/>
      <c r="E937" s="121" t="n"/>
      <c r="F937" s="57" t="inlineStr">
        <is>
          <t>x</t>
        </is>
      </c>
      <c r="G937" s="57" t="n"/>
      <c r="H937" s="57" t="n"/>
      <c r="I937" s="57" t="n"/>
      <c r="J937" s="121" t="n"/>
      <c r="K937" s="121" t="n"/>
      <c r="L937" s="121" t="n"/>
      <c r="M937" s="121" t="n"/>
    </row>
    <row r="938" ht="40.5" customHeight="1" s="215">
      <c r="B938" s="209" t="n">
        <v>801</v>
      </c>
      <c r="C938" s="253" t="inlineStr">
        <is>
          <t>Barras laterales de acción: Bloques con degradado de rojo oscuro a granate para destacar acciones finales.</t>
        </is>
      </c>
      <c r="D938" s="254" t="n"/>
      <c r="E938" s="121" t="n"/>
      <c r="F938" s="57" t="inlineStr">
        <is>
          <t>x</t>
        </is>
      </c>
      <c r="G938" s="57" t="n"/>
      <c r="H938" s="57" t="n"/>
      <c r="I938" s="57" t="n"/>
      <c r="J938" s="121" t="n"/>
      <c r="K938" s="121" t="n"/>
      <c r="L938" s="121" t="n"/>
      <c r="M938" s="121" t="n"/>
    </row>
    <row r="939" ht="36.75" customHeight="1" s="215">
      <c r="B939" s="209" t="n">
        <v>802</v>
      </c>
      <c r="C939" s="253" t="inlineStr">
        <is>
          <t>Botones de acción: Fondo gris oscuro, bordes redondeados de 8px e iconos de dirección/flecha.</t>
        </is>
      </c>
      <c r="D939" s="254" t="n"/>
      <c r="E939" s="121" t="n"/>
      <c r="F939" s="57" t="inlineStr">
        <is>
          <t>x</t>
        </is>
      </c>
      <c r="G939" s="57" t="n"/>
      <c r="H939" s="57" t="n"/>
      <c r="I939" s="57" t="n"/>
      <c r="J939" s="121" t="n"/>
      <c r="K939" s="121" t="n"/>
      <c r="L939" s="121" t="n"/>
      <c r="M939" s="121" t="n"/>
    </row>
    <row r="940" ht="34.5" customHeight="1" s="215">
      <c r="B940" s="209" t="n">
        <v>803</v>
      </c>
      <c r="C940" s="253" t="inlineStr">
        <is>
          <t>Indicadores de estado: Listas de puntos grises con etiquetas descriptivas bajo los botones principales.</t>
        </is>
      </c>
      <c r="D940" s="254" t="n"/>
      <c r="E940" s="121" t="n"/>
      <c r="F940" s="57" t="inlineStr">
        <is>
          <t>x</t>
        </is>
      </c>
      <c r="G940" s="57" t="n"/>
      <c r="H940" s="57" t="n"/>
      <c r="I940" s="57" t="n"/>
      <c r="J940" s="121" t="n"/>
      <c r="K940" s="121" t="n"/>
      <c r="L940" s="121" t="n"/>
      <c r="M940" s="121" t="n"/>
    </row>
    <row r="941" ht="42" customHeight="1" s="215">
      <c r="B941" s="175" t="n"/>
      <c r="C941" s="255" t="inlineStr">
        <is>
          <t>Cliente (Centro de ayuda) - modo claro</t>
        </is>
      </c>
      <c r="D941" s="254" t="n"/>
      <c r="F941" s="57" t="n"/>
      <c r="G941" s="57" t="n"/>
      <c r="H941" s="57" t="n"/>
      <c r="I941" s="57" t="n"/>
    </row>
    <row r="942" ht="409.5" customHeight="1" s="215">
      <c r="B942" s="175" t="n"/>
      <c r="C942" s="256" t="n"/>
      <c r="D942" s="254" t="n"/>
      <c r="F942" s="57" t="n"/>
      <c r="G942" s="57" t="n"/>
      <c r="H942" s="57" t="n"/>
      <c r="I942" s="57" t="n"/>
    </row>
    <row r="943" ht="38.25" customHeight="1" s="215">
      <c r="B943" s="209" t="n">
        <v>804</v>
      </c>
      <c r="C943" s="253" t="inlineStr">
        <is>
          <t>Fondo general de la página: Degradado radial suave en tonos crema/beige claro hacia blanco.</t>
        </is>
      </c>
      <c r="D943" s="254" t="n"/>
      <c r="E943" s="121" t="n"/>
      <c r="F943" s="57" t="inlineStr">
        <is>
          <t>x</t>
        </is>
      </c>
      <c r="G943" s="57" t="n"/>
      <c r="H943" s="57" t="n"/>
      <c r="I943" s="57" t="n"/>
      <c r="J943" s="121" t="n"/>
      <c r="K943" s="121" t="n"/>
      <c r="L943" s="121" t="n"/>
      <c r="M943" s="121" t="n"/>
    </row>
    <row r="944" ht="36.75" customHeight="1" s="215">
      <c r="B944" s="209" t="n">
        <v>805</v>
      </c>
      <c r="C944" s="253" t="inlineStr">
        <is>
          <t>Títulos principales: Texto en color azul marino oscuro (#2d3748) para alto contraste.</t>
        </is>
      </c>
      <c r="D944" s="254" t="n"/>
      <c r="E944" s="121" t="n"/>
      <c r="F944" s="57" t="inlineStr">
        <is>
          <t>x</t>
        </is>
      </c>
      <c r="G944" s="57" t="n"/>
      <c r="H944" s="57" t="n"/>
      <c r="I944" s="57" t="n"/>
      <c r="J944" s="121" t="n"/>
      <c r="K944" s="121" t="n"/>
      <c r="L944" s="121" t="n"/>
      <c r="M944" s="121" t="n"/>
    </row>
    <row r="945" ht="38.25" customHeight="1" s="215">
      <c r="B945" s="209" t="n">
        <v>806</v>
      </c>
      <c r="C945" s="253" t="inlineStr">
        <is>
          <t>Subtítulos e instrucciones: Texto en gris medio para diferenciar la jerarquía informativa.</t>
        </is>
      </c>
      <c r="D945" s="254" t="n"/>
      <c r="E945" s="121" t="n"/>
      <c r="F945" s="57" t="inlineStr">
        <is>
          <t>x</t>
        </is>
      </c>
      <c r="G945" s="57" t="n"/>
      <c r="H945" s="57" t="n"/>
      <c r="I945" s="57" t="n"/>
      <c r="J945" s="121" t="n"/>
      <c r="K945" s="121" t="n"/>
      <c r="L945" s="121" t="n"/>
      <c r="M945" s="121" t="n"/>
    </row>
    <row r="946" ht="36.75" customHeight="1" s="215">
      <c r="B946" s="209" t="n">
        <v>807</v>
      </c>
      <c r="C946" s="253" t="inlineStr">
        <is>
          <t>Contenedores de información: Fondo blanco sólido, border-radius de 12px y sombra paralela (drop shadow) sutil.</t>
        </is>
      </c>
      <c r="D946" s="254" t="n"/>
      <c r="E946" s="121" t="n"/>
      <c r="F946" s="57" t="inlineStr">
        <is>
          <t>x</t>
        </is>
      </c>
      <c r="G946" s="57" t="n"/>
      <c r="H946" s="57" t="n"/>
      <c r="I946" s="57" t="n"/>
      <c r="J946" s="121" t="n"/>
      <c r="K946" s="121" t="n"/>
      <c r="L946" s="121" t="n"/>
      <c r="M946" s="121" t="n"/>
    </row>
    <row r="947" ht="39" customHeight="1" s="215">
      <c r="B947" s="209" t="n">
        <v>808</v>
      </c>
      <c r="C947" s="253" t="inlineStr">
        <is>
          <t>Cuerpo de texto: Texto en gris oscuro con interlineado amplio (aprox. 1.5) para legibilidad.</t>
        </is>
      </c>
      <c r="D947" s="254" t="n"/>
      <c r="E947" s="121" t="n"/>
      <c r="F947" s="57" t="inlineStr">
        <is>
          <t>x</t>
        </is>
      </c>
      <c r="G947" s="57" t="n"/>
      <c r="H947" s="57" t="n"/>
      <c r="I947" s="57" t="n"/>
      <c r="J947" s="121" t="n"/>
      <c r="K947" s="121" t="n"/>
      <c r="L947" s="121" t="n"/>
      <c r="M947" s="121" t="n"/>
    </row>
    <row r="948" ht="36.75" customHeight="1" s="215">
      <c r="B948" s="209" t="n">
        <v>809</v>
      </c>
      <c r="C948" s="253" t="inlineStr">
        <is>
          <t>Barra de navegación (Navbar): Fondo blanco/transparente con elementos alineados a los extremos (Logo e Interacciones).</t>
        </is>
      </c>
      <c r="D948" s="254" t="n"/>
      <c r="E948" s="121" t="n"/>
      <c r="F948" s="57" t="inlineStr">
        <is>
          <t>x</t>
        </is>
      </c>
      <c r="G948" s="57" t="n"/>
      <c r="H948" s="57" t="n"/>
      <c r="I948" s="57" t="n"/>
      <c r="J948" s="121" t="n"/>
      <c r="K948" s="121" t="n"/>
      <c r="L948" s="121" t="n"/>
      <c r="M948" s="121" t="n"/>
    </row>
    <row r="949" ht="37.5" customHeight="1" s="215">
      <c r="B949" s="209" t="n">
        <v>810</v>
      </c>
      <c r="C949" s="253" t="inlineStr">
        <is>
          <t>Botones de sesión: Botón "Iniciar Sesión" con borde sólido; botón "Registrarse" con fondo verde pastel (#a8c2b1 aprox).</t>
        </is>
      </c>
      <c r="D949" s="254" t="n"/>
      <c r="E949" s="121" t="n"/>
      <c r="F949" s="57" t="inlineStr">
        <is>
          <t>x</t>
        </is>
      </c>
      <c r="G949" s="57" t="n"/>
      <c r="H949" s="57" t="n"/>
      <c r="I949" s="57" t="n"/>
      <c r="J949" s="121" t="n"/>
      <c r="K949" s="121" t="n"/>
      <c r="L949" s="121" t="n"/>
      <c r="M949" s="121" t="n"/>
    </row>
    <row r="950" ht="40.5" customHeight="1" s="215">
      <c r="B950" s="209" t="n">
        <v>811</v>
      </c>
      <c r="C950" s="253" t="inlineStr">
        <is>
          <t>Selector de tema: Icono de sol/brillo centrado para control de alternancia entre modos (Light/Dark).</t>
        </is>
      </c>
      <c r="D950" s="254" t="n"/>
      <c r="E950" s="121" t="n"/>
      <c r="F950" s="57" t="inlineStr">
        <is>
          <t>x</t>
        </is>
      </c>
      <c r="G950" s="57" t="n"/>
      <c r="H950" s="57" t="n"/>
      <c r="I950" s="57" t="n"/>
      <c r="J950" s="121" t="n"/>
      <c r="K950" s="121" t="n"/>
      <c r="L950" s="121" t="n"/>
      <c r="M950" s="121" t="n"/>
    </row>
    <row r="951" ht="39" customHeight="1" s="215">
      <c r="B951" s="209" t="n">
        <v>812</v>
      </c>
      <c r="C951" s="253" t="inlineStr">
        <is>
          <t>Botón de retorno: Botón "Volver al inicio" con fondo gris muy claro y bordes redondeados (8px).</t>
        </is>
      </c>
      <c r="D951" s="254" t="n"/>
      <c r="E951" s="121" t="n"/>
      <c r="F951" s="57" t="inlineStr">
        <is>
          <t>x</t>
        </is>
      </c>
      <c r="G951" s="57" t="n"/>
      <c r="H951" s="57" t="n"/>
      <c r="I951" s="57" t="n"/>
      <c r="J951" s="121" t="n"/>
      <c r="K951" s="121" t="n"/>
      <c r="L951" s="121" t="n"/>
      <c r="M951" s="121" t="n"/>
    </row>
    <row r="952" ht="40.5" customHeight="1" s="215">
      <c r="B952" s="209" t="n">
        <v>813</v>
      </c>
      <c r="C952" s="253" t="inlineStr">
        <is>
          <t>Efectos decorativos: Partículas mínimas dispersas en el fondo para añadir profundidad visual.</t>
        </is>
      </c>
      <c r="D952" s="254" t="n"/>
      <c r="E952" s="121" t="n"/>
      <c r="F952" s="57" t="inlineStr">
        <is>
          <t>x</t>
        </is>
      </c>
      <c r="G952" s="57" t="n"/>
      <c r="H952" s="57" t="n"/>
      <c r="I952" s="57" t="n"/>
      <c r="J952" s="121" t="n"/>
      <c r="K952" s="121" t="n"/>
      <c r="L952" s="121" t="n"/>
      <c r="M952" s="121" t="n"/>
    </row>
    <row r="953" ht="42" customHeight="1" s="215">
      <c r="B953" s="175" t="n"/>
      <c r="C953" s="255" t="inlineStr">
        <is>
          <t>Cliente (Contáctanos) - modo claro</t>
        </is>
      </c>
      <c r="D953" s="254" t="n"/>
      <c r="F953" s="57" t="n"/>
      <c r="G953" s="57" t="n"/>
      <c r="H953" s="57" t="n"/>
      <c r="I953" s="57" t="n"/>
    </row>
    <row r="954" ht="409.5" customHeight="1" s="215">
      <c r="B954" s="175" t="n"/>
      <c r="C954" s="256" t="n"/>
      <c r="D954" s="254" t="n"/>
      <c r="F954" s="57" t="n"/>
      <c r="G954" s="57" t="n"/>
      <c r="H954" s="57" t="n"/>
      <c r="I954" s="57" t="n"/>
    </row>
    <row r="955" ht="36.75" customHeight="1" s="215">
      <c r="B955" s="209" t="n">
        <v>814</v>
      </c>
      <c r="C955" s="257" t="inlineStr">
        <is>
          <t>Fondo de la página: Degradado radial suave en tonos beige/crema claro hacia blanco.</t>
        </is>
      </c>
      <c r="D955" s="258" t="n"/>
      <c r="E955" s="121" t="n"/>
      <c r="F955" s="57" t="inlineStr">
        <is>
          <t>x</t>
        </is>
      </c>
      <c r="G955" s="57" t="n"/>
      <c r="H955" s="57" t="n"/>
      <c r="I955" s="57" t="n"/>
      <c r="J955" s="121" t="n"/>
      <c r="K955" s="121" t="n"/>
      <c r="L955" s="121" t="n"/>
      <c r="M955" s="121" t="n"/>
    </row>
    <row r="956" ht="38.25" customHeight="1" s="215">
      <c r="B956" s="209" t="n">
        <v>815</v>
      </c>
      <c r="C956" s="257" t="inlineStr">
        <is>
          <t>Contenedor del Formulario: Fondo blanco sólido, border-radius de 12px y sombra sutil (drop shadow) para efecto de elevación.</t>
        </is>
      </c>
      <c r="D956" s="258" t="n"/>
      <c r="E956" s="121" t="n"/>
      <c r="F956" s="57" t="inlineStr">
        <is>
          <t>x</t>
        </is>
      </c>
      <c r="G956" s="57" t="n"/>
      <c r="H956" s="57" t="n"/>
      <c r="I956" s="57" t="n"/>
      <c r="J956" s="121" t="n"/>
      <c r="K956" s="121" t="n"/>
      <c r="L956" s="121" t="n"/>
      <c r="M956" s="121" t="n"/>
    </row>
    <row r="957" ht="36.75" customHeight="1" s="215">
      <c r="B957" s="209" t="n">
        <v>816</v>
      </c>
      <c r="C957" s="257" t="inlineStr">
        <is>
          <t>Campos de Entrada (Inputs/Textarea): Fondo gris muy claro, bordes finos en gris suave y texto de ejemplo (placeholder) en gris medio.</t>
        </is>
      </c>
      <c r="D957" s="258" t="n"/>
      <c r="E957" s="121" t="n"/>
      <c r="F957" s="57" t="inlineStr">
        <is>
          <t>x</t>
        </is>
      </c>
      <c r="G957" s="57" t="n"/>
      <c r="H957" s="57" t="n"/>
      <c r="I957" s="57" t="n"/>
      <c r="J957" s="121" t="n"/>
      <c r="K957" s="121" t="n"/>
      <c r="L957" s="121" t="n"/>
      <c r="M957" s="121" t="n"/>
    </row>
    <row r="958" ht="39" customHeight="1" s="215">
      <c r="B958" s="209" t="n">
        <v>817</v>
      </c>
      <c r="C958" s="257" t="inlineStr">
        <is>
          <t>Tipografía de Etiquetas: Texto en color azul marino oscuro (#2d3748), peso bold y alineación superior a los campos.</t>
        </is>
      </c>
      <c r="D958" s="258" t="n"/>
      <c r="E958" s="121" t="n"/>
      <c r="F958" s="57" t="inlineStr">
        <is>
          <t>x</t>
        </is>
      </c>
      <c r="G958" s="57" t="n"/>
      <c r="H958" s="57" t="n"/>
      <c r="I958" s="57" t="n"/>
      <c r="J958" s="121" t="n"/>
      <c r="K958" s="121" t="n"/>
      <c r="L958" s="121" t="n"/>
      <c r="M958" s="121" t="n"/>
    </row>
    <row r="959" ht="36.75" customHeight="1" s="215">
      <c r="B959" s="209" t="n">
        <v>818</v>
      </c>
      <c r="C959" s="257" t="inlineStr">
        <is>
          <t>Botón de Acción Principal: Fondo naranja vibrante (#ff7043 aprox.) con texto en blanco y bordes redondeados (8px).</t>
        </is>
      </c>
      <c r="D959" s="258" t="n"/>
      <c r="E959" s="121" t="n"/>
      <c r="F959" s="57" t="inlineStr">
        <is>
          <t>x</t>
        </is>
      </c>
      <c r="G959" s="57" t="n"/>
      <c r="H959" s="57" t="n"/>
      <c r="I959" s="57" t="n"/>
      <c r="J959" s="121" t="n"/>
      <c r="K959" s="121" t="n"/>
      <c r="L959" s="121" t="n"/>
      <c r="M959" s="121" t="n"/>
    </row>
    <row r="960" ht="37.5" customHeight="1" s="215">
      <c r="B960" s="209" t="n">
        <v>819</v>
      </c>
      <c r="C960" s="257" t="inlineStr">
        <is>
          <t>Iconografía en Inputs: Uso de iconos lineales (ej. sobre de correo) en color verde esmeralda suave dentro de los campos específicos.</t>
        </is>
      </c>
      <c r="D960" s="258" t="n"/>
      <c r="E960" s="121" t="n"/>
      <c r="F960" s="57" t="inlineStr">
        <is>
          <t>x</t>
        </is>
      </c>
      <c r="G960" s="57" t="n"/>
      <c r="H960" s="57" t="n"/>
      <c r="I960" s="57" t="n"/>
      <c r="J960" s="121" t="n"/>
      <c r="K960" s="121" t="n"/>
      <c r="L960" s="121" t="n"/>
      <c r="M960" s="121" t="n"/>
    </row>
    <row r="961" ht="40.5" customHeight="1" s="215">
      <c r="B961" s="209" t="n">
        <v>820</v>
      </c>
      <c r="C961" s="257" t="inlineStr">
        <is>
          <t>Área de Mensaje: Campo de texto multilínea (textarea) con tirador de redimensionamiento sutil en la esquina inferior derecha.</t>
        </is>
      </c>
      <c r="D961" s="258" t="n"/>
      <c r="E961" s="121" t="n"/>
      <c r="F961" s="57" t="inlineStr">
        <is>
          <t>x</t>
        </is>
      </c>
      <c r="G961" s="57" t="n"/>
      <c r="H961" s="57" t="n"/>
      <c r="I961" s="57" t="n"/>
      <c r="J961" s="121" t="n"/>
      <c r="K961" s="121" t="n"/>
      <c r="L961" s="121" t="n"/>
      <c r="M961" s="121" t="n"/>
    </row>
    <row r="962" ht="39" customHeight="1" s="215">
      <c r="B962" s="209" t="n">
        <v>821</v>
      </c>
      <c r="C962" s="257" t="inlineStr">
        <is>
          <t>Distribución de Campos: Diseño de dos columnas para datos personales (Nombre/Correo) y una columna completa para Asunto y Mensaje.</t>
        </is>
      </c>
      <c r="D962" s="258" t="n"/>
      <c r="E962" s="121" t="n"/>
      <c r="F962" s="57" t="inlineStr">
        <is>
          <t>x</t>
        </is>
      </c>
      <c r="G962" s="57" t="n"/>
      <c r="H962" s="57" t="n"/>
      <c r="I962" s="57" t="n"/>
      <c r="J962" s="121" t="n"/>
      <c r="K962" s="121" t="n"/>
      <c r="L962" s="121" t="n"/>
      <c r="M962" s="121" t="n"/>
    </row>
    <row r="963" ht="40.5" customHeight="1" s="215">
      <c r="B963" s="209" t="n">
        <v>822</v>
      </c>
      <c r="C963" s="257" t="inlineStr">
        <is>
          <t>Botón de Navegación Superior: Botón "Volver al inicio" con fondo gris claro, centrado sobre el título principal.</t>
        </is>
      </c>
      <c r="D963" s="258" t="n"/>
      <c r="E963" s="121" t="n"/>
      <c r="F963" s="57" t="inlineStr">
        <is>
          <t>x</t>
        </is>
      </c>
      <c r="G963" s="57" t="n"/>
      <c r="H963" s="57" t="n"/>
      <c r="I963" s="57" t="n"/>
      <c r="J963" s="121" t="n"/>
      <c r="K963" s="121" t="n"/>
      <c r="L963" s="121" t="n"/>
      <c r="M963" s="121" t="n"/>
    </row>
    <row r="964" ht="41.25" customHeight="1" s="215">
      <c r="B964" s="209" t="n">
        <v>823</v>
      </c>
      <c r="C964" s="257" t="inlineStr">
        <is>
          <t>Estilo de Texto de Cabecera: Título "Contáctanos" en azul oscuro profundo, seguido de un párrafo descriptivo en gris oscuro.</t>
        </is>
      </c>
      <c r="D964" s="258" t="n"/>
      <c r="E964" s="121" t="n"/>
      <c r="F964" s="57" t="inlineStr">
        <is>
          <t>x</t>
        </is>
      </c>
      <c r="G964" s="57" t="n"/>
      <c r="H964" s="57" t="n"/>
      <c r="I964" s="57" t="n"/>
      <c r="J964" s="121" t="n"/>
      <c r="K964" s="121" t="n"/>
      <c r="L964" s="121" t="n"/>
      <c r="M964" s="121" t="n"/>
    </row>
    <row r="965" ht="42" customHeight="1" s="215">
      <c r="B965" s="175" t="n"/>
      <c r="C965" s="255" t="inlineStr">
        <is>
          <t>Cliente (Contáctanos) - modo oscuro</t>
        </is>
      </c>
      <c r="D965" s="254" t="n"/>
      <c r="F965" s="57" t="n"/>
      <c r="G965" s="57" t="n"/>
      <c r="H965" s="57" t="n"/>
      <c r="I965" s="57" t="n"/>
    </row>
    <row r="966" ht="409.5" customHeight="1" s="215">
      <c r="B966" s="175" t="n"/>
      <c r="C966" s="256" t="n"/>
      <c r="D966" s="254" t="n"/>
      <c r="F966" s="57" t="n"/>
      <c r="G966" s="57" t="n"/>
      <c r="H966" s="57" t="n"/>
      <c r="I966" s="57" t="n"/>
    </row>
    <row r="967" ht="38.25" customHeight="1" s="215">
      <c r="B967" s="209" t="n">
        <v>824</v>
      </c>
      <c r="C967" s="257" t="inlineStr">
        <is>
          <t>Fondo general de la página: Color negro sólido o gris carbón muy oscuro (#0a0a0a) con partículas decorativas tenues.</t>
        </is>
      </c>
      <c r="D967" s="258" t="n"/>
      <c r="E967" s="121" t="n"/>
      <c r="F967" s="57" t="inlineStr">
        <is>
          <t>x</t>
        </is>
      </c>
      <c r="G967" s="57" t="n"/>
      <c r="H967" s="57" t="n"/>
      <c r="I967" s="57" t="n"/>
      <c r="J967" s="121" t="n"/>
      <c r="K967" s="121" t="n"/>
      <c r="L967" s="121" t="n"/>
      <c r="M967" s="121" t="n"/>
    </row>
    <row r="968" ht="36.75" customHeight="1" s="215">
      <c r="B968" s="209" t="n">
        <v>825</v>
      </c>
      <c r="C968" s="257" t="inlineStr">
        <is>
          <t>Contenedor del Formulario: Fondo gris muy oscuro, border-radius de 12px y borde perimetral sutil en gris oscuro para definición.</t>
        </is>
      </c>
      <c r="D968" s="258" t="n"/>
      <c r="E968" s="121" t="n"/>
      <c r="F968" s="57" t="inlineStr">
        <is>
          <t>x</t>
        </is>
      </c>
      <c r="G968" s="57" t="n"/>
      <c r="H968" s="57" t="n"/>
      <c r="I968" s="57" t="n"/>
      <c r="J968" s="121" t="n"/>
      <c r="K968" s="121" t="n"/>
      <c r="L968" s="121" t="n"/>
      <c r="M968" s="121" t="n"/>
    </row>
    <row r="969" ht="39" customHeight="1" s="215">
      <c r="B969" s="209" t="n">
        <v>826</v>
      </c>
      <c r="C969" s="257" t="inlineStr">
        <is>
          <t>Campos de Entrada (Inputs/Textarea): Fondo negro sólido, bordes finos en gris oscuro y texto/placeholders en gris claro.</t>
        </is>
      </c>
      <c r="D969" s="258" t="n"/>
      <c r="E969" s="121" t="n"/>
      <c r="F969" s="57" t="inlineStr">
        <is>
          <t>x</t>
        </is>
      </c>
      <c r="G969" s="57" t="n"/>
      <c r="H969" s="57" t="n"/>
      <c r="I969" s="57" t="n"/>
      <c r="J969" s="121" t="n"/>
      <c r="K969" s="121" t="n"/>
      <c r="L969" s="121" t="n"/>
      <c r="M969" s="121" t="n"/>
    </row>
    <row r="970" ht="36.75" customHeight="1" s="215">
      <c r="B970" s="209" t="n">
        <v>827</v>
      </c>
      <c r="C970" s="257" t="inlineStr">
        <is>
          <t>Tipografía de Etiquetas: Texto en blanco puro o gris muy claro, peso bold y fuente sans-serif.</t>
        </is>
      </c>
      <c r="D970" s="258" t="n"/>
      <c r="E970" s="121" t="n"/>
      <c r="F970" s="57" t="inlineStr">
        <is>
          <t>x</t>
        </is>
      </c>
      <c r="G970" s="57" t="n"/>
      <c r="H970" s="57" t="n"/>
      <c r="I970" s="57" t="n"/>
      <c r="J970" s="121" t="n"/>
      <c r="K970" s="121" t="n"/>
      <c r="L970" s="121" t="n"/>
      <c r="M970" s="121" t="n"/>
    </row>
    <row r="971" ht="37.5" customHeight="1" s="215">
      <c r="B971" s="209" t="n">
        <v>828</v>
      </c>
      <c r="C971" s="257" t="inlineStr">
        <is>
          <t>Botón de Acción Principal: Fondo rojo granate/oscuro (#b71c1c aprox.) con texto en blanco y bordes redondeados de 8px.</t>
        </is>
      </c>
      <c r="D971" s="258" t="n"/>
      <c r="E971" s="121" t="n"/>
      <c r="F971" s="57" t="inlineStr">
        <is>
          <t>x</t>
        </is>
      </c>
      <c r="G971" s="57" t="n"/>
      <c r="H971" s="57" t="n"/>
      <c r="I971" s="57" t="n"/>
      <c r="J971" s="121" t="n"/>
      <c r="K971" s="121" t="n"/>
      <c r="L971" s="121" t="n"/>
      <c r="M971" s="121" t="n"/>
    </row>
    <row r="972" ht="40.5" customHeight="1" s="215">
      <c r="B972" s="209" t="n">
        <v>829</v>
      </c>
      <c r="C972" s="257" t="inlineStr">
        <is>
          <t>Iconografía en Inputs: Icono de correo en color verde esmeralda brillante dentro del campo "Correo electrónico".</t>
        </is>
      </c>
      <c r="D972" s="258" t="n"/>
      <c r="E972" s="121" t="n"/>
      <c r="F972" s="57" t="inlineStr">
        <is>
          <t>x</t>
        </is>
      </c>
      <c r="G972" s="57" t="n"/>
      <c r="H972" s="57" t="n"/>
      <c r="I972" s="57" t="n"/>
      <c r="J972" s="121" t="n"/>
      <c r="K972" s="121" t="n"/>
      <c r="L972" s="121" t="n"/>
      <c r="M972" s="121" t="n"/>
    </row>
    <row r="973" ht="39" customHeight="1" s="215">
      <c r="B973" s="209" t="n">
        <v>830</v>
      </c>
      <c r="C973" s="257" t="inlineStr">
        <is>
          <t>Área de Mensaje: Campo de texto multilínea con altura expandida y tirador de redimensionamiento sutil.</t>
        </is>
      </c>
      <c r="D973" s="258" t="n"/>
      <c r="E973" s="121" t="n"/>
      <c r="F973" s="57" t="inlineStr">
        <is>
          <t>x</t>
        </is>
      </c>
      <c r="G973" s="57" t="n"/>
      <c r="H973" s="57" t="n"/>
      <c r="I973" s="57" t="n"/>
      <c r="J973" s="121" t="n"/>
      <c r="K973" s="121" t="n"/>
      <c r="L973" s="121" t="n"/>
      <c r="M973" s="121" t="n"/>
    </row>
    <row r="974" ht="40.5" customHeight="1" s="215">
      <c r="B974" s="209" t="n">
        <v>831</v>
      </c>
      <c r="C974" s="257" t="inlineStr">
        <is>
          <t>Efecto de Fondo: Degradado radial tenue en tonos tierra/ocre que emana desde la parte inferior para dar profundidad.</t>
        </is>
      </c>
      <c r="D974" s="258" t="n"/>
      <c r="E974" s="121" t="n"/>
      <c r="F974" s="57" t="inlineStr">
        <is>
          <t>x</t>
        </is>
      </c>
      <c r="G974" s="57" t="n"/>
      <c r="H974" s="57" t="n"/>
      <c r="I974" s="57" t="n"/>
      <c r="J974" s="121" t="n"/>
      <c r="K974" s="121" t="n"/>
      <c r="L974" s="121" t="n"/>
      <c r="M974" s="121" t="n"/>
    </row>
    <row r="975" ht="41.25" customHeight="1" s="215">
      <c r="B975" s="209" t="n">
        <v>832</v>
      </c>
      <c r="C975" s="257" t="inlineStr">
        <is>
          <t>Botones de Sesión (Navbar): Botón "Registrarse" con fondo ocre/dorado y botón "Iniciar Sesión" en blanco puro.</t>
        </is>
      </c>
      <c r="D975" s="258" t="n"/>
      <c r="E975" s="121" t="n"/>
      <c r="F975" s="57" t="inlineStr">
        <is>
          <t>x</t>
        </is>
      </c>
      <c r="G975" s="57" t="n"/>
      <c r="H975" s="57" t="n"/>
      <c r="I975" s="57" t="n"/>
      <c r="J975" s="121" t="n"/>
      <c r="K975" s="121" t="n"/>
      <c r="L975" s="121" t="n"/>
      <c r="M975" s="121" t="n"/>
    </row>
    <row r="976" ht="36.75" customHeight="1" s="215">
      <c r="B976" s="209" t="n">
        <v>833</v>
      </c>
      <c r="C976" s="257" t="inlineStr">
        <is>
          <t>Cabecera de Página: Título "Contáctanos" en blanco bold de gran tamaño y párrafo descriptivo en gris claro centrado.</t>
        </is>
      </c>
      <c r="D976" s="258" t="n"/>
      <c r="E976" s="121" t="n"/>
      <c r="F976" s="57" t="inlineStr">
        <is>
          <t>x</t>
        </is>
      </c>
      <c r="G976" s="57" t="n"/>
      <c r="H976" s="57" t="n"/>
      <c r="I976" s="57" t="n"/>
      <c r="J976" s="121" t="n"/>
      <c r="K976" s="121" t="n"/>
      <c r="L976" s="121" t="n"/>
      <c r="M976" s="121" t="n"/>
    </row>
    <row r="977" ht="42" customHeight="1" s="215">
      <c r="B977" s="175" t="n"/>
      <c r="C977" s="255" t="inlineStr">
        <is>
          <t>Cliente (Terminos y condiciones de uso) - modo oscuro</t>
        </is>
      </c>
      <c r="D977" s="254" t="n"/>
      <c r="F977" s="57" t="n"/>
      <c r="G977" s="57" t="n"/>
      <c r="H977" s="57" t="n"/>
      <c r="I977" s="57" t="n"/>
    </row>
    <row r="978" ht="409.5" customHeight="1" s="215">
      <c r="B978" s="212" t="n"/>
      <c r="C978" s="259" t="n"/>
      <c r="D978" s="260" t="n"/>
      <c r="F978" s="222" t="n"/>
      <c r="G978" s="222" t="n"/>
      <c r="H978" s="222" t="n"/>
      <c r="I978" s="222" t="n"/>
    </row>
    <row r="979" ht="297" customHeight="1" s="215">
      <c r="B979" s="212" t="n"/>
      <c r="C979" s="261" t="n"/>
      <c r="D979" s="258" t="n"/>
      <c r="E979" s="121" t="n"/>
      <c r="F979" s="262" t="n"/>
      <c r="G979" s="262" t="n"/>
      <c r="H979" s="262" t="n"/>
      <c r="I979" s="262" t="n"/>
      <c r="J979" s="121" t="n"/>
      <c r="K979" s="121" t="n"/>
      <c r="L979" s="121" t="n"/>
      <c r="M979" s="121" t="n"/>
    </row>
    <row r="980" ht="39" customHeight="1" s="215">
      <c r="B980" s="209" t="n">
        <v>834</v>
      </c>
      <c r="C980" s="257" t="inlineStr">
        <is>
          <t>Fondo de la página: Color negro sólido o gris carbón muy oscuro (#0a0a0a) con degradado ocre inferior.</t>
        </is>
      </c>
      <c r="D980" s="258" t="n"/>
      <c r="E980" s="121" t="n"/>
      <c r="F980" s="57" t="inlineStr">
        <is>
          <t>x</t>
        </is>
      </c>
      <c r="G980" s="57" t="n"/>
      <c r="H980" s="57" t="n"/>
      <c r="I980" s="57" t="n"/>
      <c r="J980" s="121" t="n"/>
      <c r="K980" s="121" t="n"/>
      <c r="L980" s="121" t="n"/>
      <c r="M980" s="121" t="n"/>
    </row>
    <row r="981" ht="36.75" customHeight="1" s="215">
      <c r="B981" s="209" t="n">
        <v>835</v>
      </c>
      <c r="C981" s="257" t="inlineStr">
        <is>
          <t>Contenedor Legal: Fondo gris muy oscuro, border-radius de 12px y padding interno amplio para facilitar la lectura extensa.</t>
        </is>
      </c>
      <c r="D981" s="258" t="n"/>
      <c r="E981" s="121" t="n"/>
      <c r="F981" s="57" t="inlineStr">
        <is>
          <t>x</t>
        </is>
      </c>
      <c r="G981" s="57" t="n"/>
      <c r="H981" s="57" t="n"/>
      <c r="I981" s="57" t="n"/>
      <c r="J981" s="121" t="n"/>
      <c r="K981" s="121" t="n"/>
      <c r="L981" s="121" t="n"/>
      <c r="M981" s="121" t="n"/>
    </row>
    <row r="982" ht="37.5" customHeight="1" s="215">
      <c r="B982" s="209" t="n">
        <v>836</v>
      </c>
      <c r="C982" s="257" t="inlineStr">
        <is>
          <t>Título Principal: Texto "Términos y Condiciones de Uso" en blanco puro, peso bold y tamaño de fuente destacado.</t>
        </is>
      </c>
      <c r="D982" s="258" t="n"/>
      <c r="E982" s="121" t="n"/>
      <c r="F982" s="57" t="inlineStr">
        <is>
          <t>x</t>
        </is>
      </c>
      <c r="G982" s="57" t="n"/>
      <c r="H982" s="57" t="n"/>
      <c r="I982" s="57" t="n"/>
      <c r="J982" s="121" t="n"/>
      <c r="K982" s="121" t="n"/>
      <c r="L982" s="121" t="n"/>
      <c r="M982" s="121" t="n"/>
    </row>
    <row r="983" ht="40.5" customHeight="1" s="215">
      <c r="B983" s="209" t="n">
        <v>837</v>
      </c>
      <c r="C983" s="257" t="inlineStr">
        <is>
          <t>Indicador de Versión: Texto de "Última actualización" en gris claro, centrado y con tamaño de fuente reducido debajo del título.</t>
        </is>
      </c>
      <c r="D983" s="258" t="n"/>
      <c r="E983" s="121" t="n"/>
      <c r="F983" s="57" t="inlineStr">
        <is>
          <t>x</t>
        </is>
      </c>
      <c r="G983" s="57" t="n"/>
      <c r="H983" s="57" t="n"/>
      <c r="I983" s="57" t="n"/>
      <c r="J983" s="121" t="n"/>
      <c r="K983" s="121" t="n"/>
      <c r="L983" s="121" t="n"/>
      <c r="M983" s="121" t="n"/>
    </row>
    <row r="984" ht="39" customHeight="1" s="215">
      <c r="B984" s="209" t="n">
        <v>838</v>
      </c>
      <c r="C984" s="257" t="inlineStr">
        <is>
          <t>Numeración de Secciones: Títulos de sección (1 al 10) en blanco puro, peso bold para facilitar la navegación visual.</t>
        </is>
      </c>
      <c r="D984" s="258" t="n"/>
      <c r="E984" s="121" t="n"/>
      <c r="F984" s="57" t="inlineStr">
        <is>
          <t>x</t>
        </is>
      </c>
      <c r="G984" s="57" t="n"/>
      <c r="H984" s="57" t="n"/>
      <c r="I984" s="57" t="n"/>
      <c r="J984" s="121" t="n"/>
      <c r="K984" s="121" t="n"/>
      <c r="L984" s="121" t="n"/>
      <c r="M984" s="121" t="n"/>
    </row>
    <row r="985" ht="40.5" customHeight="1" s="215">
      <c r="B985" s="209" t="n">
        <v>839</v>
      </c>
      <c r="C985" s="257" t="inlineStr">
        <is>
          <t>Cuerpo del Texto: Texto en gris claro con interlineado (line-height) optimizado para lectura de documentos legales largos.</t>
        </is>
      </c>
      <c r="D985" s="258" t="n"/>
      <c r="E985" s="121" t="n"/>
      <c r="F985" s="57" t="inlineStr">
        <is>
          <t>x</t>
        </is>
      </c>
      <c r="G985" s="57" t="n"/>
      <c r="H985" s="57" t="n"/>
      <c r="I985" s="57" t="n"/>
      <c r="J985" s="121" t="n"/>
      <c r="K985" s="121" t="n"/>
      <c r="L985" s="121" t="n"/>
      <c r="M985" s="121" t="n"/>
    </row>
    <row r="986" ht="41.25" customHeight="1" s="215">
      <c r="B986" s="209" t="n">
        <v>840</v>
      </c>
      <c r="C986" s="257" t="inlineStr">
        <is>
          <t>Acentos de Color: Botón "Registrarse" en ocre/dorado y botón "Iniciar Sesión" en blanco para mantener la consistencia de marca.</t>
        </is>
      </c>
      <c r="D986" s="258" t="n"/>
      <c r="E986" s="121" t="n"/>
      <c r="F986" s="57" t="inlineStr">
        <is>
          <t>x</t>
        </is>
      </c>
      <c r="G986" s="57" t="n"/>
      <c r="H986" s="57" t="n"/>
      <c r="I986" s="57" t="n"/>
      <c r="J986" s="121" t="n"/>
      <c r="K986" s="121" t="n"/>
      <c r="L986" s="121" t="n"/>
      <c r="M986" s="121" t="n"/>
    </row>
    <row r="987" ht="40.5" customHeight="1" s="215">
      <c r="B987" s="209" t="n">
        <v>841</v>
      </c>
      <c r="C987" s="257" t="inlineStr">
        <is>
          <t>Barra de Navegación: Fondo transparente con logotipo "Reservify" y controles de tema (luna) visibles en la parte superior.</t>
        </is>
      </c>
      <c r="D987" s="258" t="n"/>
      <c r="E987" s="121" t="n"/>
      <c r="F987" s="57" t="inlineStr">
        <is>
          <t>x</t>
        </is>
      </c>
      <c r="G987" s="57" t="n"/>
      <c r="H987" s="57" t="n"/>
      <c r="I987" s="57" t="n"/>
      <c r="J987" s="121" t="n"/>
      <c r="K987" s="121" t="n"/>
      <c r="L987" s="121" t="n"/>
      <c r="M987" s="121" t="n"/>
    </row>
    <row r="988" ht="41.25" customHeight="1" s="215">
      <c r="B988" s="209" t="n">
        <v>842</v>
      </c>
      <c r="C988" s="257" t="inlineStr">
        <is>
          <t>Botón de Navegación Secundaria: Botón "Volver al inicio" con fondo gris oscuro y bordes redondeados, ubicado sobre el título.</t>
        </is>
      </c>
      <c r="D988" s="258" t="n"/>
      <c r="E988" s="121" t="n"/>
      <c r="F988" s="57" t="inlineStr">
        <is>
          <t>x</t>
        </is>
      </c>
      <c r="G988" s="57" t="n"/>
      <c r="H988" s="57" t="n"/>
      <c r="I988" s="57" t="n"/>
      <c r="J988" s="121" t="n"/>
      <c r="K988" s="121" t="n"/>
      <c r="L988" s="121" t="n"/>
      <c r="M988" s="121" t="n"/>
    </row>
    <row r="989" ht="36.75" customHeight="1" s="215">
      <c r="B989" s="209" t="n">
        <v>843</v>
      </c>
      <c r="C989" s="257" t="inlineStr">
        <is>
          <t>Efectos Visuales: Partículas mínimas en el fondo para mantener la estética "espacial" o de profundidad de la plataforma.</t>
        </is>
      </c>
      <c r="D989" s="258" t="n"/>
      <c r="E989" s="121" t="n"/>
      <c r="F989" s="57" t="inlineStr">
        <is>
          <t>x</t>
        </is>
      </c>
      <c r="G989" s="57" t="n"/>
      <c r="H989" s="57" t="n"/>
      <c r="I989" s="57" t="n"/>
      <c r="J989" s="121" t="n"/>
      <c r="K989" s="121" t="n"/>
      <c r="L989" s="121" t="n"/>
      <c r="M989" s="121" t="n"/>
    </row>
    <row r="990" ht="42" customHeight="1" s="215">
      <c r="B990" s="175" t="n"/>
      <c r="C990" s="255" t="inlineStr">
        <is>
          <t>Cliente (Terminos y condiciones de uso) - modo claro</t>
        </is>
      </c>
      <c r="D990" s="254" t="n"/>
      <c r="F990" s="57" t="n"/>
      <c r="G990" s="57" t="n"/>
      <c r="H990" s="57" t="n"/>
      <c r="I990" s="57" t="n"/>
    </row>
    <row r="991" ht="409.5" customHeight="1" s="215">
      <c r="B991" s="212" t="n"/>
      <c r="C991" s="259" t="n"/>
      <c r="D991" s="260" t="n"/>
      <c r="F991" s="222" t="n"/>
      <c r="G991" s="222" t="n"/>
      <c r="H991" s="222" t="n"/>
      <c r="I991" s="222" t="n"/>
    </row>
    <row r="992" ht="297" customHeight="1" s="215">
      <c r="B992" s="212" t="n"/>
      <c r="C992" s="261" t="n"/>
      <c r="D992" s="258" t="n"/>
      <c r="E992" s="121" t="n"/>
      <c r="F992" s="262" t="n"/>
      <c r="G992" s="262" t="n"/>
      <c r="H992" s="262" t="n"/>
      <c r="I992" s="262" t="n"/>
      <c r="J992" s="121" t="n"/>
      <c r="K992" s="121" t="n"/>
      <c r="L992" s="121" t="n"/>
      <c r="M992" s="121" t="n"/>
    </row>
    <row r="993" ht="39" customHeight="1" s="215">
      <c r="B993" s="209" t="n">
        <v>844</v>
      </c>
      <c r="C993" s="257" t="inlineStr">
        <is>
          <t>Fondo de la página: Degradado radial suave en tonos beige/crema claro hacia blanco.</t>
        </is>
      </c>
      <c r="D993" s="258" t="n"/>
      <c r="E993" s="121" t="n"/>
      <c r="F993" s="57" t="inlineStr">
        <is>
          <t>x</t>
        </is>
      </c>
      <c r="G993" s="57" t="n"/>
      <c r="H993" s="57" t="n"/>
      <c r="I993" s="57" t="n"/>
      <c r="J993" s="121" t="n"/>
      <c r="K993" s="121" t="n"/>
      <c r="L993" s="121" t="n"/>
      <c r="M993" s="121" t="n"/>
    </row>
    <row r="994" ht="36.75" customHeight="1" s="215">
      <c r="B994" s="209" t="n">
        <v>845</v>
      </c>
      <c r="C994" s="257" t="inlineStr">
        <is>
          <t>Contenedor Legal: Fondo blanco sólido, border-radius de 12px y sombra sutil (drop shadow) para separación del fondo.</t>
        </is>
      </c>
      <c r="D994" s="258" t="n"/>
      <c r="E994" s="121" t="n"/>
      <c r="F994" s="57" t="inlineStr">
        <is>
          <t>x</t>
        </is>
      </c>
      <c r="G994" s="57" t="n"/>
      <c r="H994" s="57" t="n"/>
      <c r="I994" s="57" t="n"/>
      <c r="J994" s="121" t="n"/>
      <c r="K994" s="121" t="n"/>
      <c r="L994" s="121" t="n"/>
      <c r="M994" s="121" t="n"/>
    </row>
    <row r="995" ht="37.5" customHeight="1" s="215">
      <c r="B995" s="209" t="n">
        <v>846</v>
      </c>
      <c r="C995" s="257" t="inlineStr">
        <is>
          <t>Título Principal: Texto "Términos y Condiciones de Uso" en azul marino oscuro (#2d3748) y peso bold.</t>
        </is>
      </c>
      <c r="D995" s="258" t="n"/>
      <c r="E995" s="121" t="n"/>
      <c r="F995" s="57" t="inlineStr">
        <is>
          <t>x</t>
        </is>
      </c>
      <c r="G995" s="57" t="n"/>
      <c r="H995" s="57" t="n"/>
      <c r="I995" s="57" t="n"/>
      <c r="J995" s="121" t="n"/>
      <c r="K995" s="121" t="n"/>
      <c r="L995" s="121" t="n"/>
      <c r="M995" s="121" t="n"/>
    </row>
    <row r="996" ht="40.5" customHeight="1" s="215">
      <c r="B996" s="209" t="n">
        <v>847</v>
      </c>
      <c r="C996" s="257" t="inlineStr">
        <is>
          <t>Indicador de Versión: Texto de "Última actualización" en gris medio, centrado bajo el título principal.</t>
        </is>
      </c>
      <c r="D996" s="258" t="n"/>
      <c r="E996" s="121" t="n"/>
      <c r="F996" s="57" t="inlineStr">
        <is>
          <t>x</t>
        </is>
      </c>
      <c r="G996" s="57" t="n"/>
      <c r="H996" s="57" t="n"/>
      <c r="I996" s="57" t="n"/>
      <c r="J996" s="121" t="n"/>
      <c r="K996" s="121" t="n"/>
      <c r="L996" s="121" t="n"/>
      <c r="M996" s="121" t="n"/>
    </row>
    <row r="997" ht="39" customHeight="1" s="215">
      <c r="B997" s="209" t="n">
        <v>848</v>
      </c>
      <c r="C997" s="257" t="inlineStr">
        <is>
          <t>Numeración de Secciones: Títulos de sección (1 al 10) en color oscuro y peso bold para resaltar la estructura del documento.</t>
        </is>
      </c>
      <c r="D997" s="258" t="n"/>
      <c r="E997" s="121" t="n"/>
      <c r="F997" s="57" t="inlineStr">
        <is>
          <t>x</t>
        </is>
      </c>
      <c r="G997" s="57" t="n"/>
      <c r="H997" s="57" t="n"/>
      <c r="I997" s="57" t="n"/>
      <c r="J997" s="121" t="n"/>
      <c r="K997" s="121" t="n"/>
      <c r="L997" s="121" t="n"/>
      <c r="M997" s="121" t="n"/>
    </row>
    <row r="998" ht="40.5" customHeight="1" s="215">
      <c r="B998" s="209" t="n">
        <v>849</v>
      </c>
      <c r="C998" s="257" t="inlineStr">
        <is>
          <t>Cuerpo del Texto: Texto en gris oxford oscuro con interlineado amplio para mejorar la lectura de cláusulas legales.</t>
        </is>
      </c>
      <c r="D998" s="258" t="n"/>
      <c r="E998" s="121" t="n"/>
      <c r="F998" s="57" t="inlineStr">
        <is>
          <t>x</t>
        </is>
      </c>
      <c r="G998" s="57" t="n"/>
      <c r="H998" s="57" t="n"/>
      <c r="I998" s="57" t="n"/>
      <c r="J998" s="121" t="n"/>
      <c r="K998" s="121" t="n"/>
      <c r="L998" s="121" t="n"/>
      <c r="M998" s="121" t="n"/>
    </row>
    <row r="999" ht="41.25" customHeight="1" s="215">
      <c r="B999" s="209" t="n">
        <v>850</v>
      </c>
      <c r="C999" s="257" t="inlineStr">
        <is>
          <t>Barra de Navegación (Navbar): Fondo blanco/transparente con logotipo "Reservify" y controles alineados a los extremos.</t>
        </is>
      </c>
      <c r="D999" s="258" t="n"/>
      <c r="E999" s="121" t="n"/>
      <c r="F999" s="57" t="inlineStr">
        <is>
          <t>x</t>
        </is>
      </c>
      <c r="G999" s="57" t="n"/>
      <c r="H999" s="57" t="n"/>
      <c r="I999" s="57" t="n"/>
      <c r="J999" s="121" t="n"/>
      <c r="K999" s="121" t="n"/>
      <c r="L999" s="121" t="n"/>
      <c r="M999" s="121" t="n"/>
    </row>
    <row r="1000" ht="40.5" customHeight="1" s="215">
      <c r="B1000" s="209" t="n">
        <v>851</v>
      </c>
      <c r="C1000" s="257" t="inlineStr">
        <is>
          <t>Botones de Sesión: Botón "Iniciar Sesión" con borde definido; botón "Registrarse" con fondo verde pastel (#a8c2b1).</t>
        </is>
      </c>
      <c r="D1000" s="258" t="n"/>
      <c r="E1000" s="121" t="n"/>
      <c r="F1000" s="57" t="inlineStr">
        <is>
          <t>x</t>
        </is>
      </c>
      <c r="G1000" s="57" t="n"/>
      <c r="H1000" s="57" t="n"/>
      <c r="I1000" s="57" t="n"/>
      <c r="J1000" s="121" t="n"/>
      <c r="K1000" s="121" t="n"/>
      <c r="L1000" s="121" t="n"/>
      <c r="M1000" s="121" t="n"/>
    </row>
    <row r="1001" ht="41.25" customHeight="1" s="215">
      <c r="B1001" s="209" t="n">
        <v>852</v>
      </c>
      <c r="C1001" s="257" t="inlineStr">
        <is>
          <t>Selector de Tema: Icono de sol/brillo centrado indicando el estado activo del modo claro.</t>
        </is>
      </c>
      <c r="D1001" s="258" t="n"/>
      <c r="E1001" s="121" t="n"/>
      <c r="F1001" s="57" t="inlineStr">
        <is>
          <t>x</t>
        </is>
      </c>
      <c r="G1001" s="57" t="n"/>
      <c r="H1001" s="57" t="n"/>
      <c r="I1001" s="57" t="n"/>
      <c r="J1001" s="121" t="n"/>
      <c r="K1001" s="121" t="n"/>
      <c r="L1001" s="121" t="n"/>
      <c r="M1001" s="121" t="n"/>
    </row>
    <row r="1002" ht="36.75" customHeight="1" s="215">
      <c r="B1002" s="209" t="n">
        <v>853</v>
      </c>
      <c r="C1002" s="257" t="inlineStr">
        <is>
          <t>Espaciado Táctil: Margen interno (padding) amplio para evitar que el texto toque los bordes del contenedor blanco.</t>
        </is>
      </c>
      <c r="D1002" s="258" t="n"/>
      <c r="E1002" s="121" t="n"/>
      <c r="F1002" s="57" t="inlineStr">
        <is>
          <t>x</t>
        </is>
      </c>
      <c r="G1002" s="57" t="n"/>
      <c r="H1002" s="57" t="n"/>
      <c r="I1002" s="57" t="n"/>
      <c r="J1002" s="121" t="n"/>
      <c r="K1002" s="121" t="n"/>
      <c r="L1002" s="121" t="n"/>
      <c r="M1002" s="121" t="n"/>
    </row>
    <row r="1003" ht="42" customHeight="1" s="215">
      <c r="B1003" s="175" t="n"/>
      <c r="C1003" s="255" t="inlineStr">
        <is>
          <t>Cliente (Politica y privacidad) - modo claro</t>
        </is>
      </c>
      <c r="D1003" s="254" t="n"/>
      <c r="F1003" s="57" t="n"/>
      <c r="G1003" s="57" t="n"/>
      <c r="H1003" s="57" t="n"/>
      <c r="I1003" s="57" t="n"/>
    </row>
    <row r="1004" ht="409.5" customHeight="1" s="215">
      <c r="B1004" s="212" t="n"/>
      <c r="C1004" s="259" t="n"/>
      <c r="D1004" s="260" t="n"/>
      <c r="F1004" s="222" t="n"/>
      <c r="G1004" s="222" t="n"/>
      <c r="H1004" s="222" t="n"/>
      <c r="I1004" s="222" t="n"/>
    </row>
    <row r="1005" ht="297" customHeight="1" s="215">
      <c r="B1005" s="212" t="n"/>
      <c r="C1005" s="261" t="n"/>
      <c r="D1005" s="258" t="n"/>
      <c r="E1005" s="121" t="n"/>
      <c r="F1005" s="262" t="n"/>
      <c r="G1005" s="262" t="n"/>
      <c r="H1005" s="262" t="n"/>
      <c r="I1005" s="262" t="n"/>
      <c r="J1005" s="121" t="n"/>
      <c r="K1005" s="121" t="n"/>
      <c r="L1005" s="121" t="n"/>
      <c r="M1005" s="121" t="n"/>
    </row>
    <row r="1006" ht="39" customHeight="1" s="215">
      <c r="B1006" s="209" t="n">
        <v>854</v>
      </c>
      <c r="C1006" s="257" t="inlineStr">
        <is>
          <t>Fondo de la página: Degradado radial suave en tonos beige/crema claro hacia blanco.</t>
        </is>
      </c>
      <c r="D1006" s="258" t="n"/>
      <c r="E1006" s="121" t="n"/>
      <c r="F1006" s="57" t="inlineStr">
        <is>
          <t>x</t>
        </is>
      </c>
      <c r="G1006" s="57" t="n"/>
      <c r="H1006" s="57" t="n"/>
      <c r="I1006" s="57" t="n"/>
      <c r="J1006" s="121" t="n"/>
      <c r="K1006" s="121" t="n"/>
      <c r="L1006" s="121" t="n"/>
      <c r="M1006" s="121" t="n"/>
    </row>
    <row r="1007" ht="36.75" customHeight="1" s="215">
      <c r="B1007" s="209" t="n">
        <v>855</v>
      </c>
      <c r="C1007" s="257" t="inlineStr">
        <is>
          <t>Contenedor Principal: Fondo blanco sólido, border-radius de 12px y sombra sutil para profundidad.</t>
        </is>
      </c>
      <c r="D1007" s="258" t="n"/>
      <c r="E1007" s="121" t="n"/>
      <c r="F1007" s="57" t="inlineStr">
        <is>
          <t>x</t>
        </is>
      </c>
      <c r="G1007" s="57" t="n"/>
      <c r="H1007" s="57" t="n"/>
      <c r="I1007" s="57" t="n"/>
      <c r="J1007" s="121" t="n"/>
      <c r="K1007" s="121" t="n"/>
      <c r="L1007" s="121" t="n"/>
      <c r="M1007" s="121" t="n"/>
    </row>
    <row r="1008" ht="37.5" customHeight="1" s="215">
      <c r="B1008" s="209" t="n">
        <v>856</v>
      </c>
      <c r="C1008" s="257" t="inlineStr">
        <is>
          <t>Título de Sección: Texto "Política de Privacidad" en color azul marino oscuro (#2d3748) y peso bold.</t>
        </is>
      </c>
      <c r="D1008" s="258" t="n"/>
      <c r="E1008" s="121" t="n"/>
      <c r="F1008" s="57" t="inlineStr">
        <is>
          <t>x</t>
        </is>
      </c>
      <c r="G1008" s="57" t="n"/>
      <c r="H1008" s="57" t="n"/>
      <c r="I1008" s="57" t="n"/>
      <c r="J1008" s="121" t="n"/>
      <c r="K1008" s="121" t="n"/>
      <c r="L1008" s="121" t="n"/>
      <c r="M1008" s="121" t="n"/>
    </row>
    <row r="1009" ht="40.5" customHeight="1" s="215">
      <c r="B1009" s="209" t="n">
        <v>857</v>
      </c>
      <c r="C1009" s="257" t="inlineStr">
        <is>
          <t>Bajada de Título: Texto descriptivo breve en gris medio centrado debajo del título principal.</t>
        </is>
      </c>
      <c r="D1009" s="258" t="n"/>
      <c r="E1009" s="121" t="n"/>
      <c r="F1009" s="57" t="inlineStr">
        <is>
          <t>x</t>
        </is>
      </c>
      <c r="G1009" s="57" t="n"/>
      <c r="H1009" s="57" t="n"/>
      <c r="I1009" s="57" t="n"/>
      <c r="J1009" s="121" t="n"/>
      <c r="K1009" s="121" t="n"/>
      <c r="L1009" s="121" t="n"/>
      <c r="M1009" s="121" t="n"/>
    </row>
    <row r="1010" ht="39" customHeight="1" s="215">
      <c r="B1010" s="209" t="n">
        <v>858</v>
      </c>
      <c r="C1010" s="257" t="inlineStr">
        <is>
          <t>Estructura de Puntos: Numeración (1 al 10) en color oscuro y peso bold para facilitar la navegación rápida.</t>
        </is>
      </c>
      <c r="D1010" s="258" t="n"/>
      <c r="E1010" s="121" t="n"/>
      <c r="F1010" s="57" t="inlineStr">
        <is>
          <t>x</t>
        </is>
      </c>
      <c r="G1010" s="57" t="n"/>
      <c r="H1010" s="57" t="n"/>
      <c r="I1010" s="57" t="n"/>
      <c r="J1010" s="121" t="n"/>
      <c r="K1010" s="121" t="n"/>
      <c r="L1010" s="121" t="n"/>
      <c r="M1010" s="121" t="n"/>
    </row>
    <row r="1011" ht="40.5" customHeight="1" s="215">
      <c r="B1011" s="209" t="n">
        <v>859</v>
      </c>
      <c r="C1011" s="257" t="inlineStr">
        <is>
          <t>Cuerpo de Texto: Texto en gris oxford con interlineado (line-height) generoso para mejorar la legibilidad.</t>
        </is>
      </c>
      <c r="D1011" s="258" t="n"/>
      <c r="E1011" s="121" t="n"/>
      <c r="F1011" s="57" t="inlineStr">
        <is>
          <t>x</t>
        </is>
      </c>
      <c r="G1011" s="57" t="n"/>
      <c r="H1011" s="57" t="n"/>
      <c r="I1011" s="57" t="n"/>
      <c r="J1011" s="121" t="n"/>
      <c r="K1011" s="121" t="n"/>
      <c r="L1011" s="121" t="n"/>
      <c r="M1011" s="121" t="n"/>
    </row>
    <row r="1012" ht="41.25" customHeight="1" s="215">
      <c r="B1012" s="209" t="n">
        <v>860</v>
      </c>
      <c r="C1012" s="257" t="inlineStr">
        <is>
          <t>Barra de Navegación (Navbar): Logotipo "Reservify" a la izquierda; botones "Iniciar Sesión" (oscuro) y "Registrarse" (verde pastel) a la derecha.</t>
        </is>
      </c>
      <c r="D1012" s="258" t="n"/>
      <c r="E1012" s="121" t="n"/>
      <c r="F1012" s="57" t="inlineStr">
        <is>
          <t>x</t>
        </is>
      </c>
      <c r="G1012" s="57" t="n"/>
      <c r="H1012" s="57" t="n"/>
      <c r="I1012" s="57" t="n"/>
      <c r="J1012" s="121" t="n"/>
      <c r="K1012" s="121" t="n"/>
      <c r="L1012" s="121" t="n"/>
      <c r="M1012" s="121" t="n"/>
    </row>
    <row r="1013" ht="40.5" customHeight="1" s="215">
      <c r="B1013" s="209" t="n">
        <v>861</v>
      </c>
      <c r="C1013" s="257" t="inlineStr">
        <is>
          <t>Selector de Tema: Icono de sol/brillo centrado en el Navbar para control de alternancia lumínica.</t>
        </is>
      </c>
      <c r="D1013" s="258" t="n"/>
      <c r="E1013" s="121" t="n"/>
      <c r="F1013" s="57" t="inlineStr">
        <is>
          <t>x</t>
        </is>
      </c>
      <c r="G1013" s="57" t="n"/>
      <c r="H1013" s="57" t="n"/>
      <c r="I1013" s="57" t="n"/>
      <c r="J1013" s="121" t="n"/>
      <c r="K1013" s="121" t="n"/>
      <c r="L1013" s="121" t="n"/>
      <c r="M1013" s="121" t="n"/>
    </row>
    <row r="1014" ht="41.25" customHeight="1" s="215">
      <c r="B1014" s="209" t="n">
        <v>862</v>
      </c>
      <c r="C1014" s="257" t="inlineStr">
        <is>
          <t>Márgenes Internos: Padding amplio dentro del contenedor para evitar que el texto se acerque a los bordes curvos.</t>
        </is>
      </c>
      <c r="D1014" s="258" t="n"/>
      <c r="E1014" s="121" t="n"/>
      <c r="F1014" s="57" t="inlineStr">
        <is>
          <t>x</t>
        </is>
      </c>
      <c r="G1014" s="57" t="n"/>
      <c r="H1014" s="57" t="n"/>
      <c r="I1014" s="57" t="n"/>
      <c r="J1014" s="121" t="n"/>
      <c r="K1014" s="121" t="n"/>
      <c r="L1014" s="121" t="n"/>
      <c r="M1014" s="121" t="n"/>
    </row>
    <row r="1015" ht="36.75" customHeight="1" s="215">
      <c r="B1015" s="209" t="n">
        <v>863</v>
      </c>
      <c r="C1015" s="257" t="inlineStr">
        <is>
          <t>Consistencia Visual: Uso de la misma paleta de colores crema y blanco empleada en la página de Términos y Condiciones.</t>
        </is>
      </c>
      <c r="D1015" s="258" t="n"/>
      <c r="E1015" s="121" t="n"/>
      <c r="F1015" s="57" t="inlineStr">
        <is>
          <t>x</t>
        </is>
      </c>
      <c r="G1015" s="57" t="n"/>
      <c r="H1015" s="57" t="n"/>
      <c r="I1015" s="57" t="n"/>
      <c r="J1015" s="121" t="n"/>
      <c r="K1015" s="121" t="n"/>
      <c r="L1015" s="121" t="n"/>
      <c r="M1015" s="121" t="n"/>
    </row>
    <row r="1016" ht="42" customHeight="1" s="215">
      <c r="B1016" s="175" t="n"/>
      <c r="C1016" s="255" t="inlineStr">
        <is>
          <t>Cliente (Politica y privacidad) - modo oscuro</t>
        </is>
      </c>
      <c r="D1016" s="254" t="n"/>
      <c r="F1016" s="57" t="n"/>
      <c r="G1016" s="57" t="n"/>
      <c r="H1016" s="57" t="n"/>
      <c r="I1016" s="57" t="n"/>
    </row>
    <row r="1017" ht="409.5" customHeight="1" s="215">
      <c r="B1017" s="212" t="n"/>
      <c r="C1017" s="259" t="n"/>
      <c r="D1017" s="260" t="n"/>
      <c r="F1017" s="222" t="n"/>
      <c r="G1017" s="222" t="n"/>
      <c r="H1017" s="222" t="n"/>
      <c r="I1017" s="222" t="n"/>
    </row>
    <row r="1018" ht="297" customHeight="1" s="215">
      <c r="B1018" s="212" t="n"/>
      <c r="C1018" s="261" t="n"/>
      <c r="D1018" s="258" t="n"/>
      <c r="E1018" s="121" t="n"/>
      <c r="F1018" s="262" t="n"/>
      <c r="G1018" s="262" t="n"/>
      <c r="H1018" s="262" t="n"/>
      <c r="I1018" s="262" t="n"/>
      <c r="J1018" s="121" t="n"/>
      <c r="K1018" s="121" t="n"/>
      <c r="L1018" s="121" t="n"/>
      <c r="M1018" s="121" t="n"/>
    </row>
    <row r="1019" ht="39" customHeight="1" s="215">
      <c r="B1019" s="209" t="n">
        <v>874</v>
      </c>
      <c r="C1019" s="257" t="inlineStr">
        <is>
          <t>Fondo de la página: Color negro sólido (#0a0a0a) con degradado ocre/tierra en la parte inferior.</t>
        </is>
      </c>
      <c r="D1019" s="258" t="n"/>
      <c r="E1019" s="121" t="n"/>
      <c r="F1019" s="57" t="inlineStr">
        <is>
          <t>x</t>
        </is>
      </c>
      <c r="G1019" s="57" t="n"/>
      <c r="H1019" s="57" t="n"/>
      <c r="I1019" s="57" t="n"/>
      <c r="J1019" s="121" t="n"/>
      <c r="K1019" s="121" t="n"/>
      <c r="L1019" s="121" t="n"/>
      <c r="M1019" s="121" t="n"/>
    </row>
    <row r="1020" ht="36.75" customHeight="1" s="215">
      <c r="B1020" s="209" t="n">
        <v>875</v>
      </c>
      <c r="C1020" s="257" t="inlineStr">
        <is>
          <t>Contenedor Principal: Fondo gris muy oscuro, border-radius de 12px y borde sutil para definición sobre el fondo negro.</t>
        </is>
      </c>
      <c r="D1020" s="258" t="n"/>
      <c r="E1020" s="121" t="n"/>
      <c r="F1020" s="57" t="inlineStr">
        <is>
          <t>x</t>
        </is>
      </c>
      <c r="G1020" s="57" t="n"/>
      <c r="H1020" s="57" t="n"/>
      <c r="I1020" s="57" t="n"/>
      <c r="J1020" s="121" t="n"/>
      <c r="K1020" s="121" t="n"/>
      <c r="L1020" s="121" t="n"/>
      <c r="M1020" s="121" t="n"/>
    </row>
    <row r="1021" ht="37.5" customHeight="1" s="215">
      <c r="B1021" s="209" t="n">
        <v>876</v>
      </c>
      <c r="C1021" s="257" t="inlineStr">
        <is>
          <t>Título de Sección: Texto "Política de Privacidad" en blanco puro, peso bold y fuente sans-serif.</t>
        </is>
      </c>
      <c r="D1021" s="258" t="n"/>
      <c r="E1021" s="121" t="n"/>
      <c r="F1021" s="57" t="inlineStr">
        <is>
          <t>x</t>
        </is>
      </c>
      <c r="G1021" s="57" t="n"/>
      <c r="H1021" s="57" t="n"/>
      <c r="I1021" s="57" t="n"/>
      <c r="J1021" s="121" t="n"/>
      <c r="K1021" s="121" t="n"/>
      <c r="L1021" s="121" t="n"/>
      <c r="M1021" s="121" t="n"/>
    </row>
    <row r="1022" ht="40.5" customHeight="1" s="215">
      <c r="B1022" s="209" t="n">
        <v>877</v>
      </c>
      <c r="C1022" s="257" t="inlineStr">
        <is>
          <t>Bajada de Título: Texto descriptivo en gris claro centrado debajo del título principal para contexto inmediato.</t>
        </is>
      </c>
      <c r="D1022" s="258" t="n"/>
      <c r="E1022" s="121" t="n"/>
      <c r="F1022" s="57" t="inlineStr">
        <is>
          <t>x</t>
        </is>
      </c>
      <c r="G1022" s="57" t="n"/>
      <c r="H1022" s="57" t="n"/>
      <c r="I1022" s="57" t="n"/>
      <c r="J1022" s="121" t="n"/>
      <c r="K1022" s="121" t="n"/>
      <c r="L1022" s="121" t="n"/>
      <c r="M1022" s="121" t="n"/>
    </row>
    <row r="1023" ht="39" customHeight="1" s="215">
      <c r="B1023" s="209" t="n">
        <v>878</v>
      </c>
      <c r="C1023" s="257" t="inlineStr">
        <is>
          <t>Estructura de Puntos: Títulos numerados (1 al 10) en blanco puro y peso bold para resaltar la jerarquía legal.</t>
        </is>
      </c>
      <c r="D1023" s="258" t="n"/>
      <c r="E1023" s="121" t="n"/>
      <c r="F1023" s="57" t="inlineStr">
        <is>
          <t>x</t>
        </is>
      </c>
      <c r="G1023" s="57" t="n"/>
      <c r="H1023" s="57" t="n"/>
      <c r="I1023" s="57" t="n"/>
      <c r="J1023" s="121" t="n"/>
      <c r="K1023" s="121" t="n"/>
      <c r="L1023" s="121" t="n"/>
      <c r="M1023" s="121" t="n"/>
    </row>
    <row r="1024" ht="40.5" customHeight="1" s="215">
      <c r="B1024" s="209" t="n">
        <v>879</v>
      </c>
      <c r="C1024" s="257" t="inlineStr">
        <is>
          <t>Cuerpo de Texto: Texto en gris claro con interlineado (line-height) amplio para facilitar la lectura de párrafos densos.</t>
        </is>
      </c>
      <c r="D1024" s="258" t="n"/>
      <c r="E1024" s="121" t="n"/>
      <c r="F1024" s="57" t="inlineStr">
        <is>
          <t>x</t>
        </is>
      </c>
      <c r="G1024" s="57" t="n"/>
      <c r="H1024" s="57" t="n"/>
      <c r="I1024" s="57" t="n"/>
      <c r="J1024" s="121" t="n"/>
      <c r="K1024" s="121" t="n"/>
      <c r="L1024" s="121" t="n"/>
      <c r="M1024" s="121" t="n"/>
    </row>
    <row r="1025" ht="41.25" customHeight="1" s="215">
      <c r="B1025" s="209" t="n">
        <v>880</v>
      </c>
      <c r="C1025" s="257" t="inlineStr">
        <is>
          <t>Barra de Navegación (Navbar): Logotipo "Reservify" (blanco); botones de acción "Iniciar Sesión" (blanco) y "Registrarse" (ocre/dorado).</t>
        </is>
      </c>
      <c r="D1025" s="258" t="n"/>
      <c r="E1025" s="121" t="n"/>
      <c r="F1025" s="57" t="inlineStr">
        <is>
          <t>x</t>
        </is>
      </c>
      <c r="G1025" s="57" t="n"/>
      <c r="H1025" s="57" t="n"/>
      <c r="I1025" s="57" t="n"/>
      <c r="J1025" s="121" t="n"/>
      <c r="K1025" s="121" t="n"/>
      <c r="L1025" s="121" t="n"/>
      <c r="M1025" s="121" t="n"/>
    </row>
    <row r="1026" ht="40.5" customHeight="1" s="215">
      <c r="B1026" s="209" t="n">
        <v>881</v>
      </c>
      <c r="C1026" s="257" t="inlineStr">
        <is>
          <t>Selector de Tema: Icono de luna en el Navbar indicando el estado activo del modo oscuro.</t>
        </is>
      </c>
      <c r="D1026" s="258" t="n"/>
      <c r="E1026" s="121" t="n"/>
      <c r="F1026" s="57" t="inlineStr">
        <is>
          <t>x</t>
        </is>
      </c>
      <c r="G1026" s="57" t="n"/>
      <c r="H1026" s="57" t="n"/>
      <c r="I1026" s="57" t="n"/>
      <c r="J1026" s="121" t="n"/>
      <c r="K1026" s="121" t="n"/>
      <c r="L1026" s="121" t="n"/>
      <c r="M1026" s="121" t="n"/>
    </row>
    <row r="1027" ht="41.25" customHeight="1" s="215">
      <c r="B1027" s="209" t="n">
        <v>882</v>
      </c>
      <c r="C1027" s="257" t="inlineStr">
        <is>
          <t>Márgenes Internos: Espaciado (padding) generoso para evitar que el texto toque los bordes del contenedor.</t>
        </is>
      </c>
      <c r="D1027" s="258" t="n"/>
      <c r="E1027" s="121" t="n"/>
      <c r="F1027" s="57" t="inlineStr">
        <is>
          <t>x</t>
        </is>
      </c>
      <c r="G1027" s="57" t="n"/>
      <c r="H1027" s="57" t="n"/>
      <c r="I1027" s="57" t="n"/>
      <c r="J1027" s="121" t="n"/>
      <c r="K1027" s="121" t="n"/>
      <c r="L1027" s="121" t="n"/>
      <c r="M1027" s="121" t="n"/>
    </row>
    <row r="1028" ht="36.75" customHeight="1" s="215">
      <c r="B1028" s="209" t="n">
        <v>883</v>
      </c>
      <c r="C1028" s="257" t="inlineStr">
        <is>
          <t>Elementos Decorativos: Partículas mínimas dispersas en el fondo para mantener la coherencia estética del sitio.</t>
        </is>
      </c>
      <c r="D1028" s="258" t="n"/>
      <c r="E1028" s="121" t="n"/>
      <c r="F1028" s="57" t="inlineStr">
        <is>
          <t>x</t>
        </is>
      </c>
      <c r="G1028" s="57" t="n"/>
      <c r="H1028" s="57" t="n"/>
      <c r="I1028" s="57" t="n"/>
      <c r="J1028" s="121" t="n"/>
      <c r="K1028" s="121" t="n"/>
      <c r="L1028" s="121" t="n"/>
      <c r="M1028" s="121" t="n"/>
    </row>
  </sheetData>
  <mergeCells count="1054">
    <mergeCell ref="C534:D534"/>
    <mergeCell ref="C363:D363"/>
    <mergeCell ref="C770:D770"/>
    <mergeCell ref="C599:D599"/>
    <mergeCell ref="C15:D15"/>
    <mergeCell ref="C897:D897"/>
    <mergeCell ref="C191:D191"/>
    <mergeCell ref="C313:D313"/>
    <mergeCell ref="C968:D968"/>
    <mergeCell ref="C107:D107"/>
    <mergeCell ref="C378:D378"/>
    <mergeCell ref="C549:D549"/>
    <mergeCell ref="C234:D234"/>
    <mergeCell ref="C172:D172"/>
    <mergeCell ref="C476:D476"/>
    <mergeCell ref="C536:D536"/>
    <mergeCell ref="B819:B820"/>
    <mergeCell ref="C712:D712"/>
    <mergeCell ref="C79:D79"/>
    <mergeCell ref="C184:D184"/>
    <mergeCell ref="C834:D834"/>
    <mergeCell ref="C73:D73"/>
    <mergeCell ref="C899:D899"/>
    <mergeCell ref="C315:D315"/>
    <mergeCell ref="C905:D905"/>
    <mergeCell ref="C171:D171"/>
    <mergeCell ref="C1004:D1005"/>
    <mergeCell ref="C961:D961"/>
    <mergeCell ref="C613:D613"/>
    <mergeCell ref="C302:D302"/>
    <mergeCell ref="C407:D407"/>
    <mergeCell ref="C600:D600"/>
    <mergeCell ref="C705:D705"/>
    <mergeCell ref="C121:D121"/>
    <mergeCell ref="C898:D898"/>
    <mergeCell ref="C836:D836"/>
    <mergeCell ref="C934:D934"/>
    <mergeCell ref="C173:D173"/>
    <mergeCell ref="C811:D811"/>
    <mergeCell ref="C471:D471"/>
    <mergeCell ref="C148:D148"/>
    <mergeCell ref="C900:D900"/>
    <mergeCell ref="C669:D669"/>
    <mergeCell ref="C689:D689"/>
    <mergeCell ref="C852:D852"/>
    <mergeCell ref="C1023:D1023"/>
    <mergeCell ref="C262:D262"/>
    <mergeCell ref="C700:D700"/>
    <mergeCell ref="C1017:D1018"/>
    <mergeCell ref="C529:D529"/>
    <mergeCell ref="C998:D998"/>
    <mergeCell ref="C802:D802"/>
    <mergeCell ref="C765:D765"/>
    <mergeCell ref="C237:D237"/>
    <mergeCell ref="C547:D547"/>
    <mergeCell ref="C989:D989"/>
    <mergeCell ref="C789:D789"/>
    <mergeCell ref="C783:D783"/>
    <mergeCell ref="C28:D28"/>
    <mergeCell ref="C326:D326"/>
    <mergeCell ref="C593:D593"/>
    <mergeCell ref="C1000:D1000"/>
    <mergeCell ref="C829:D829"/>
    <mergeCell ref="C239:D239"/>
    <mergeCell ref="C847:D847"/>
    <mergeCell ref="C92:D92"/>
    <mergeCell ref="C30:D30"/>
    <mergeCell ref="C695:D695"/>
    <mergeCell ref="C524:D524"/>
    <mergeCell ref="C595:D595"/>
    <mergeCell ref="C766:D766"/>
    <mergeCell ref="C893:D893"/>
    <mergeCell ref="C5:D5"/>
    <mergeCell ref="C97:D97"/>
    <mergeCell ref="C290:D290"/>
    <mergeCell ref="B853:B854"/>
    <mergeCell ref="C837:D838"/>
    <mergeCell ref="C384:D384"/>
    <mergeCell ref="C624:D624"/>
    <mergeCell ref="C918:D918"/>
    <mergeCell ref="C321:D321"/>
    <mergeCell ref="C242:D242"/>
    <mergeCell ref="C413:D413"/>
    <mergeCell ref="C684:D684"/>
    <mergeCell ref="C982:D982"/>
    <mergeCell ref="C478:D478"/>
    <mergeCell ref="C842:D842"/>
    <mergeCell ref="C776:D776"/>
    <mergeCell ref="C192:D192"/>
    <mergeCell ref="C969:D969"/>
    <mergeCell ref="C252:D252"/>
    <mergeCell ref="H837:H838"/>
    <mergeCell ref="C379:D379"/>
    <mergeCell ref="C550:D550"/>
    <mergeCell ref="C621:D621"/>
    <mergeCell ref="C615:D615"/>
    <mergeCell ref="C919:D919"/>
    <mergeCell ref="C244:D244"/>
    <mergeCell ref="C857:D857"/>
    <mergeCell ref="C415:D415"/>
    <mergeCell ref="C713:D713"/>
    <mergeCell ref="C542:D542"/>
    <mergeCell ref="C906:D906"/>
    <mergeCell ref="C840:D840"/>
    <mergeCell ref="C123:D123"/>
    <mergeCell ref="C949:D949"/>
    <mergeCell ref="C194:D194"/>
    <mergeCell ref="C316:D316"/>
    <mergeCell ref="C1011:D1011"/>
    <mergeCell ref="C492:D492"/>
    <mergeCell ref="C110:D110"/>
    <mergeCell ref="C552:D552"/>
    <mergeCell ref="C181:D181"/>
    <mergeCell ref="C408:D408"/>
    <mergeCell ref="C650:D650"/>
    <mergeCell ref="C850:D850"/>
    <mergeCell ref="C479:D479"/>
    <mergeCell ref="C921:D921"/>
    <mergeCell ref="C623:D623"/>
    <mergeCell ref="C777:D777"/>
    <mergeCell ref="C473:D473"/>
    <mergeCell ref="C715:D715"/>
    <mergeCell ref="C544:D544"/>
    <mergeCell ref="C908:D908"/>
    <mergeCell ref="C1013:D1013"/>
    <mergeCell ref="C606:D606"/>
    <mergeCell ref="C423:D423"/>
    <mergeCell ref="C174:D174"/>
    <mergeCell ref="C616:D616"/>
    <mergeCell ref="C410:D410"/>
    <mergeCell ref="C481:D481"/>
    <mergeCell ref="C779:D779"/>
    <mergeCell ref="C950:D950"/>
    <mergeCell ref="C18:D18"/>
    <mergeCell ref="C189:D189"/>
    <mergeCell ref="C34:D34"/>
    <mergeCell ref="C397:D397"/>
    <mergeCell ref="C568:D568"/>
    <mergeCell ref="G837:G838"/>
    <mergeCell ref="C555:D555"/>
    <mergeCell ref="C334:D334"/>
    <mergeCell ref="C505:D505"/>
    <mergeCell ref="C128:D128"/>
    <mergeCell ref="C741:D741"/>
    <mergeCell ref="C570:D570"/>
    <mergeCell ref="C426:D426"/>
    <mergeCell ref="C309:D309"/>
    <mergeCell ref="C113:D113"/>
    <mergeCell ref="C29:D29"/>
    <mergeCell ref="C855:D855"/>
    <mergeCell ref="C100:D100"/>
    <mergeCell ref="C205:D205"/>
    <mergeCell ref="C271:D271"/>
    <mergeCell ref="C94:D94"/>
    <mergeCell ref="C65:D65"/>
    <mergeCell ref="C265:D265"/>
    <mergeCell ref="C336:D336"/>
    <mergeCell ref="C830:D830"/>
    <mergeCell ref="C805:D805"/>
    <mergeCell ref="C507:D507"/>
    <mergeCell ref="C563:D563"/>
    <mergeCell ref="C634:D634"/>
    <mergeCell ref="C44:D44"/>
    <mergeCell ref="C311:D311"/>
    <mergeCell ref="C428:D428"/>
    <mergeCell ref="C142:D142"/>
    <mergeCell ref="C609:D609"/>
    <mergeCell ref="C31:D31"/>
    <mergeCell ref="C80:D80"/>
    <mergeCell ref="C329:D329"/>
    <mergeCell ref="C129:D129"/>
    <mergeCell ref="C565:D565"/>
    <mergeCell ref="C832:D832"/>
    <mergeCell ref="C807:D807"/>
    <mergeCell ref="C1003:D1003"/>
    <mergeCell ref="G978:G979"/>
    <mergeCell ref="C365:D365"/>
    <mergeCell ref="C924:D924"/>
    <mergeCell ref="C95:D95"/>
    <mergeCell ref="C611:D611"/>
    <mergeCell ref="C331:D331"/>
    <mergeCell ref="C598:D598"/>
    <mergeCell ref="C896:D896"/>
    <mergeCell ref="I800:I801"/>
    <mergeCell ref="C665:D665"/>
    <mergeCell ref="I10:I11"/>
    <mergeCell ref="I1017:I1018"/>
    <mergeCell ref="C710:D710"/>
    <mergeCell ref="C640:D640"/>
    <mergeCell ref="C454:D454"/>
    <mergeCell ref="C1019:D1019"/>
    <mergeCell ref="C131:D131"/>
    <mergeCell ref="C258:D258"/>
    <mergeCell ref="C500:D500"/>
    <mergeCell ref="C556:D556"/>
    <mergeCell ref="C494:D494"/>
    <mergeCell ref="C245:D245"/>
    <mergeCell ref="C49:D49"/>
    <mergeCell ref="C858:D858"/>
    <mergeCell ref="C714:D714"/>
    <mergeCell ref="C518:D518"/>
    <mergeCell ref="C785:D785"/>
    <mergeCell ref="C543:D543"/>
    <mergeCell ref="C24:D24"/>
    <mergeCell ref="C195:D195"/>
    <mergeCell ref="C266:D266"/>
    <mergeCell ref="C322:D322"/>
    <mergeCell ref="C1021:D1021"/>
    <mergeCell ref="C260:D260"/>
    <mergeCell ref="C431:D431"/>
    <mergeCell ref="C493:D493"/>
    <mergeCell ref="C42:D42"/>
    <mergeCell ref="F978:F979"/>
    <mergeCell ref="C922:D922"/>
    <mergeCell ref="C558:D558"/>
    <mergeCell ref="C716:D716"/>
    <mergeCell ref="C545:D545"/>
    <mergeCell ref="C787:D787"/>
    <mergeCell ref="C843:D843"/>
    <mergeCell ref="C88:D88"/>
    <mergeCell ref="C126:D126"/>
    <mergeCell ref="C26:D26"/>
    <mergeCell ref="C197:D197"/>
    <mergeCell ref="C259:D259"/>
    <mergeCell ref="C324:D324"/>
    <mergeCell ref="C958:D958"/>
    <mergeCell ref="C1014:D1014"/>
    <mergeCell ref="C495:D495"/>
    <mergeCell ref="C249:D249"/>
    <mergeCell ref="C482:D482"/>
    <mergeCell ref="C780:D780"/>
    <mergeCell ref="C951:D951"/>
    <mergeCell ref="C845:D845"/>
    <mergeCell ref="C261:D261"/>
    <mergeCell ref="C1016:D1016"/>
    <mergeCell ref="C117:D117"/>
    <mergeCell ref="C432:D432"/>
    <mergeCell ref="C55:D55"/>
    <mergeCell ref="C795:D795"/>
    <mergeCell ref="C546:D546"/>
    <mergeCell ref="C782:D782"/>
    <mergeCell ref="C953:D953"/>
    <mergeCell ref="C447:D447"/>
    <mergeCell ref="I819:I820"/>
    <mergeCell ref="C115:D115"/>
    <mergeCell ref="C213:D213"/>
    <mergeCell ref="C273:D273"/>
    <mergeCell ref="C400:D400"/>
    <mergeCell ref="C571:D571"/>
    <mergeCell ref="C698:D698"/>
    <mergeCell ref="C869:D869"/>
    <mergeCell ref="C940:D940"/>
    <mergeCell ref="C52:D52"/>
    <mergeCell ref="C734:D734"/>
    <mergeCell ref="C150:D150"/>
    <mergeCell ref="C927:D927"/>
    <mergeCell ref="C39:D39"/>
    <mergeCell ref="C144:D144"/>
    <mergeCell ref="C337:D337"/>
    <mergeCell ref="C442:D442"/>
    <mergeCell ref="C513:D513"/>
    <mergeCell ref="C635:D635"/>
    <mergeCell ref="C877:D877"/>
    <mergeCell ref="C573:D573"/>
    <mergeCell ref="C429:D429"/>
    <mergeCell ref="C871:D871"/>
    <mergeCell ref="C671:D671"/>
    <mergeCell ref="C727:D727"/>
    <mergeCell ref="C942:D942"/>
    <mergeCell ref="C798:D798"/>
    <mergeCell ref="C81:D81"/>
    <mergeCell ref="C352:D352"/>
    <mergeCell ref="C414:D414"/>
    <mergeCell ref="C37:D37"/>
    <mergeCell ref="C208:D208"/>
    <mergeCell ref="C548:D548"/>
    <mergeCell ref="C339:D339"/>
    <mergeCell ref="C366:D366"/>
    <mergeCell ref="C637:D637"/>
    <mergeCell ref="C437:D437"/>
    <mergeCell ref="C686:D686"/>
    <mergeCell ref="C935:D935"/>
    <mergeCell ref="C735:D735"/>
    <mergeCell ref="C729:D729"/>
    <mergeCell ref="C145:D145"/>
    <mergeCell ref="C978:D979"/>
    <mergeCell ref="C971:D971"/>
    <mergeCell ref="C406:D406"/>
    <mergeCell ref="C210:D210"/>
    <mergeCell ref="C381:D381"/>
    <mergeCell ref="C946:D946"/>
    <mergeCell ref="C937:D937"/>
    <mergeCell ref="C63:D63"/>
    <mergeCell ref="C134:D134"/>
    <mergeCell ref="C305:D305"/>
    <mergeCell ref="C50:D50"/>
    <mergeCell ref="C286:D286"/>
    <mergeCell ref="C553:D553"/>
    <mergeCell ref="C584:D584"/>
    <mergeCell ref="C851:D851"/>
    <mergeCell ref="C826:D826"/>
    <mergeCell ref="C1022:D1022"/>
    <mergeCell ref="C503:D503"/>
    <mergeCell ref="C991:D992"/>
    <mergeCell ref="C163:D163"/>
    <mergeCell ref="C663:D663"/>
    <mergeCell ref="C861:D861"/>
    <mergeCell ref="C350:D350"/>
    <mergeCell ref="C617:D617"/>
    <mergeCell ref="C138:D138"/>
    <mergeCell ref="C915:D915"/>
    <mergeCell ref="C27:D27"/>
    <mergeCell ref="C76:D76"/>
    <mergeCell ref="C1024:D1024"/>
    <mergeCell ref="C567:D567"/>
    <mergeCell ref="C119:D119"/>
    <mergeCell ref="C732:D732"/>
    <mergeCell ref="C865:D865"/>
    <mergeCell ref="C803:D803"/>
    <mergeCell ref="C361:D361"/>
    <mergeCell ref="C561:D561"/>
    <mergeCell ref="C790:D790"/>
    <mergeCell ref="C327:D327"/>
    <mergeCell ref="C498:D498"/>
    <mergeCell ref="C158:D158"/>
    <mergeCell ref="C425:D425"/>
    <mergeCell ref="C723:D723"/>
    <mergeCell ref="C661:D661"/>
    <mergeCell ref="C264:D264"/>
    <mergeCell ref="C450:D450"/>
    <mergeCell ref="C643:D643"/>
    <mergeCell ref="C748:D748"/>
    <mergeCell ref="C879:D879"/>
    <mergeCell ref="C539:D539"/>
    <mergeCell ref="C45:D45"/>
    <mergeCell ref="C216:D216"/>
    <mergeCell ref="C387:D387"/>
    <mergeCell ref="C343:D343"/>
    <mergeCell ref="C514:D514"/>
    <mergeCell ref="C281:D281"/>
    <mergeCell ref="C756:D756"/>
    <mergeCell ref="C816:D816"/>
    <mergeCell ref="C750:D750"/>
    <mergeCell ref="H819:H820"/>
    <mergeCell ref="C943:D943"/>
    <mergeCell ref="C452:D452"/>
    <mergeCell ref="C501:D501"/>
    <mergeCell ref="C737:D737"/>
    <mergeCell ref="C353:D353"/>
    <mergeCell ref="C451:D451"/>
    <mergeCell ref="C109:D109"/>
    <mergeCell ref="C147:D147"/>
    <mergeCell ref="C445:D445"/>
    <mergeCell ref="C47:D47"/>
    <mergeCell ref="C516:D516"/>
    <mergeCell ref="C218:D218"/>
    <mergeCell ref="C687:D687"/>
    <mergeCell ref="C274:D274"/>
    <mergeCell ref="C280:D280"/>
    <mergeCell ref="C345:D345"/>
    <mergeCell ref="C880:D880"/>
    <mergeCell ref="C814:D814"/>
    <mergeCell ref="H1017:H1018"/>
    <mergeCell ref="C874:D874"/>
    <mergeCell ref="C985:D985"/>
    <mergeCell ref="C972:D972"/>
    <mergeCell ref="C40:D40"/>
    <mergeCell ref="C211:D211"/>
    <mergeCell ref="C282:D282"/>
    <mergeCell ref="C382:D382"/>
    <mergeCell ref="C453:D453"/>
    <mergeCell ref="C751:D751"/>
    <mergeCell ref="C580:D580"/>
    <mergeCell ref="C987:D987"/>
    <mergeCell ref="C974:D974"/>
    <mergeCell ref="C71:D71"/>
    <mergeCell ref="C592:D592"/>
    <mergeCell ref="C890:D890"/>
    <mergeCell ref="C371:D371"/>
    <mergeCell ref="C165:D165"/>
    <mergeCell ref="C358:D358"/>
    <mergeCell ref="C827:D827"/>
    <mergeCell ref="C656:D656"/>
    <mergeCell ref="C66:D66"/>
    <mergeCell ref="C892:D892"/>
    <mergeCell ref="C308:D308"/>
    <mergeCell ref="C631:D631"/>
    <mergeCell ref="C990:D990"/>
    <mergeCell ref="C53:D53"/>
    <mergeCell ref="C102:D102"/>
    <mergeCell ref="C569:D569"/>
    <mergeCell ref="C229:D229"/>
    <mergeCell ref="C867:D867"/>
    <mergeCell ref="C351:D351"/>
    <mergeCell ref="C314:D314"/>
    <mergeCell ref="C965:D965"/>
    <mergeCell ref="C77:D77"/>
    <mergeCell ref="C658:D658"/>
    <mergeCell ref="C375:D375"/>
    <mergeCell ref="C179:D179"/>
    <mergeCell ref="C956:D956"/>
    <mergeCell ref="C68:D68"/>
    <mergeCell ref="B7:C7"/>
    <mergeCell ref="C310:D310"/>
    <mergeCell ref="C166:D166"/>
    <mergeCell ref="C804:D804"/>
    <mergeCell ref="C608:D608"/>
    <mergeCell ref="C160:D160"/>
    <mergeCell ref="C427:D427"/>
    <mergeCell ref="C402:D402"/>
    <mergeCell ref="C464:D464"/>
    <mergeCell ref="C633:D633"/>
    <mergeCell ref="C141:D141"/>
    <mergeCell ref="C967:D967"/>
    <mergeCell ref="C377:D377"/>
    <mergeCell ref="C662:D662"/>
    <mergeCell ref="C933:D933"/>
    <mergeCell ref="C143:D143"/>
    <mergeCell ref="C1025:D1025"/>
    <mergeCell ref="C441:D441"/>
    <mergeCell ref="C870:D870"/>
    <mergeCell ref="C255:D255"/>
    <mergeCell ref="C522:D522"/>
    <mergeCell ref="C59:D59"/>
    <mergeCell ref="C46:D46"/>
    <mergeCell ref="C21:D21"/>
    <mergeCell ref="C380:D380"/>
    <mergeCell ref="C822:D822"/>
    <mergeCell ref="C882:D882"/>
    <mergeCell ref="C61:D61"/>
    <mergeCell ref="C359:D359"/>
    <mergeCell ref="C48:D48"/>
    <mergeCell ref="C23:D23"/>
    <mergeCell ref="C219:D219"/>
    <mergeCell ref="C346:D346"/>
    <mergeCell ref="C517:D517"/>
    <mergeCell ref="C759:D759"/>
    <mergeCell ref="C588:D588"/>
    <mergeCell ref="C688:D688"/>
    <mergeCell ref="C753:D753"/>
    <mergeCell ref="C582:D582"/>
    <mergeCell ref="C824:D824"/>
    <mergeCell ref="C995:D995"/>
    <mergeCell ref="C125:D125"/>
    <mergeCell ref="C296:D296"/>
    <mergeCell ref="C740:D740"/>
    <mergeCell ref="C680:D680"/>
    <mergeCell ref="C161:D161"/>
    <mergeCell ref="C283:D283"/>
    <mergeCell ref="C690:D690"/>
    <mergeCell ref="C348:D348"/>
    <mergeCell ref="C519:D519"/>
    <mergeCell ref="C817:D817"/>
    <mergeCell ref="C988:D988"/>
    <mergeCell ref="C646:D646"/>
    <mergeCell ref="C298:D298"/>
    <mergeCell ref="C154:D154"/>
    <mergeCell ref="C980:D980"/>
    <mergeCell ref="C285:D285"/>
    <mergeCell ref="C390:D390"/>
    <mergeCell ref="C456:D456"/>
    <mergeCell ref="C754:D754"/>
    <mergeCell ref="C583:D583"/>
    <mergeCell ref="C648:D648"/>
    <mergeCell ref="C677:D677"/>
    <mergeCell ref="C156:D156"/>
    <mergeCell ref="C769:D769"/>
    <mergeCell ref="C74:D74"/>
    <mergeCell ref="C250:D250"/>
    <mergeCell ref="C372:D372"/>
    <mergeCell ref="C706:D706"/>
    <mergeCell ref="C535:D535"/>
    <mergeCell ref="C638:D638"/>
    <mergeCell ref="I1004:I1005"/>
    <mergeCell ref="C16:D16"/>
    <mergeCell ref="C964:D964"/>
    <mergeCell ref="C103:D103"/>
    <mergeCell ref="I991:I992"/>
    <mergeCell ref="C374:D374"/>
    <mergeCell ref="C230:D230"/>
    <mergeCell ref="C401:D401"/>
    <mergeCell ref="C168:D168"/>
    <mergeCell ref="C301:D301"/>
    <mergeCell ref="C472:D472"/>
    <mergeCell ref="C466:D466"/>
    <mergeCell ref="C672:D672"/>
    <mergeCell ref="C659:D659"/>
    <mergeCell ref="C708:D708"/>
    <mergeCell ref="C764:D764"/>
    <mergeCell ref="C180:D180"/>
    <mergeCell ref="C901:D901"/>
    <mergeCell ref="C118:D118"/>
    <mergeCell ref="C895:D895"/>
    <mergeCell ref="C1006:D1006"/>
    <mergeCell ref="C537:D537"/>
    <mergeCell ref="C167:D167"/>
    <mergeCell ref="C993:D993"/>
    <mergeCell ref="C238:D238"/>
    <mergeCell ref="C232:D232"/>
    <mergeCell ref="C674:D674"/>
    <mergeCell ref="C645:D645"/>
    <mergeCell ref="C403:D403"/>
    <mergeCell ref="C303:D303"/>
    <mergeCell ref="C701:D701"/>
    <mergeCell ref="C474:D474"/>
    <mergeCell ref="C772:D772"/>
    <mergeCell ref="C530:D530"/>
    <mergeCell ref="C601:D601"/>
    <mergeCell ref="C207:D207"/>
    <mergeCell ref="C182:D182"/>
    <mergeCell ref="C959:D959"/>
    <mergeCell ref="C1008:D1008"/>
    <mergeCell ref="C747:D747"/>
    <mergeCell ref="C169:D169"/>
    <mergeCell ref="C983:D983"/>
    <mergeCell ref="C467:D467"/>
    <mergeCell ref="C703:D703"/>
    <mergeCell ref="C970:D970"/>
    <mergeCell ref="C532:D532"/>
    <mergeCell ref="C233:D233"/>
    <mergeCell ref="C469:D469"/>
    <mergeCell ref="C911:D911"/>
    <mergeCell ref="C96:D96"/>
    <mergeCell ref="C848:D848"/>
    <mergeCell ref="C87:D87"/>
    <mergeCell ref="C354:D354"/>
    <mergeCell ref="B11:D11"/>
    <mergeCell ref="C652:D652"/>
    <mergeCell ref="C823:D823"/>
    <mergeCell ref="C627:D627"/>
    <mergeCell ref="C761:D761"/>
    <mergeCell ref="C6:D6"/>
    <mergeCell ref="C62:D62"/>
    <mergeCell ref="C888:D888"/>
    <mergeCell ref="C894:D894"/>
    <mergeCell ref="C421:D421"/>
    <mergeCell ref="C590:D590"/>
    <mergeCell ref="C614:D614"/>
    <mergeCell ref="C98:D98"/>
    <mergeCell ref="C396:D396"/>
    <mergeCell ref="C89:D89"/>
    <mergeCell ref="C527:D527"/>
    <mergeCell ref="C116:D116"/>
    <mergeCell ref="C187:D187"/>
    <mergeCell ref="C825:D825"/>
    <mergeCell ref="C681:D681"/>
    <mergeCell ref="C996:D996"/>
    <mergeCell ref="C952:D952"/>
    <mergeCell ref="C64:D64"/>
    <mergeCell ref="C368:D368"/>
    <mergeCell ref="C306:D306"/>
    <mergeCell ref="C485:D485"/>
    <mergeCell ref="C162:D162"/>
    <mergeCell ref="C619:D619"/>
    <mergeCell ref="C914:D914"/>
    <mergeCell ref="C460:D460"/>
    <mergeCell ref="C349:D349"/>
    <mergeCell ref="C398:D398"/>
    <mergeCell ref="C591:D591"/>
    <mergeCell ref="C696:D696"/>
    <mergeCell ref="C889:D889"/>
    <mergeCell ref="C416:D416"/>
    <mergeCell ref="C177:D177"/>
    <mergeCell ref="C954:D954"/>
    <mergeCell ref="C683:D683"/>
    <mergeCell ref="C981:D981"/>
    <mergeCell ref="C93:D93"/>
    <mergeCell ref="C226:D226"/>
    <mergeCell ref="C164:D164"/>
    <mergeCell ref="C335:D335"/>
    <mergeCell ref="C364:D364"/>
    <mergeCell ref="C462:D462"/>
    <mergeCell ref="C760:D760"/>
    <mergeCell ref="C891:D891"/>
    <mergeCell ref="C222:D222"/>
    <mergeCell ref="C251:D251"/>
    <mergeCell ref="C487:D487"/>
    <mergeCell ref="C920:D920"/>
    <mergeCell ref="C916:D916"/>
    <mergeCell ref="C17:D17"/>
    <mergeCell ref="C903:D903"/>
    <mergeCell ref="C253:D253"/>
    <mergeCell ref="C551:D551"/>
    <mergeCell ref="F800:F801"/>
    <mergeCell ref="C622:D622"/>
    <mergeCell ref="C240:D240"/>
    <mergeCell ref="H800:H801"/>
    <mergeCell ref="C411:D411"/>
    <mergeCell ref="C709:D709"/>
    <mergeCell ref="C538:D538"/>
    <mergeCell ref="C1007:D1007"/>
    <mergeCell ref="C774:D774"/>
    <mergeCell ref="C19:D19"/>
    <mergeCell ref="C190:D190"/>
    <mergeCell ref="C945:D945"/>
    <mergeCell ref="C317:D317"/>
    <mergeCell ref="C932:D932"/>
    <mergeCell ref="C111:D111"/>
    <mergeCell ref="C304:D304"/>
    <mergeCell ref="C917:D917"/>
    <mergeCell ref="C773:D773"/>
    <mergeCell ref="C602:D602"/>
    <mergeCell ref="C711:D711"/>
    <mergeCell ref="C540:D540"/>
    <mergeCell ref="C1009:D1009"/>
    <mergeCell ref="C83:D83"/>
    <mergeCell ref="C254:D254"/>
    <mergeCell ref="C248:D248"/>
    <mergeCell ref="C419:D419"/>
    <mergeCell ref="C319:D319"/>
    <mergeCell ref="C490:D490"/>
    <mergeCell ref="C175:D175"/>
    <mergeCell ref="C235:D235"/>
    <mergeCell ref="H991:H992"/>
    <mergeCell ref="C477:D477"/>
    <mergeCell ref="C775:D775"/>
    <mergeCell ref="C604:D604"/>
    <mergeCell ref="C902:D902"/>
    <mergeCell ref="C14:D14"/>
    <mergeCell ref="C185:D185"/>
    <mergeCell ref="C475:D475"/>
    <mergeCell ref="C393:D393"/>
    <mergeCell ref="C564:D564"/>
    <mergeCell ref="C137:D137"/>
    <mergeCell ref="C330:D330"/>
    <mergeCell ref="H853:H854"/>
    <mergeCell ref="C124:D124"/>
    <mergeCell ref="C566:D566"/>
    <mergeCell ref="C422:D422"/>
    <mergeCell ref="C693:D693"/>
    <mergeCell ref="C864:D864"/>
    <mergeCell ref="C925:D925"/>
    <mergeCell ref="C201:D201"/>
    <mergeCell ref="C1027:D1027"/>
    <mergeCell ref="C90:D90"/>
    <mergeCell ref="C139:D139"/>
    <mergeCell ref="C332:D332"/>
    <mergeCell ref="C388:D388"/>
    <mergeCell ref="C188:D188"/>
    <mergeCell ref="C630:D630"/>
    <mergeCell ref="C668:D668"/>
    <mergeCell ref="C424:D424"/>
    <mergeCell ref="C866:D866"/>
    <mergeCell ref="C722:D722"/>
    <mergeCell ref="C793:D793"/>
    <mergeCell ref="C800:D801"/>
    <mergeCell ref="C132:D132"/>
    <mergeCell ref="C399:D399"/>
    <mergeCell ref="C203:D203"/>
    <mergeCell ref="C470:D470"/>
    <mergeCell ref="C939:D939"/>
    <mergeCell ref="C632:D632"/>
    <mergeCell ref="C488:D488"/>
    <mergeCell ref="C930:D930"/>
    <mergeCell ref="C724:D724"/>
    <mergeCell ref="C607:D607"/>
    <mergeCell ref="C699:D699"/>
    <mergeCell ref="C941:D941"/>
    <mergeCell ref="C788:D788"/>
    <mergeCell ref="C465:D465"/>
    <mergeCell ref="C907:D907"/>
    <mergeCell ref="C636:D636"/>
    <mergeCell ref="C559:D559"/>
    <mergeCell ref="C108:D108"/>
    <mergeCell ref="C279:D279"/>
    <mergeCell ref="C844:D844"/>
    <mergeCell ref="C1015:D1015"/>
    <mergeCell ref="C325:D325"/>
    <mergeCell ref="C417:D417"/>
    <mergeCell ref="F837:F838"/>
    <mergeCell ref="C859:D859"/>
    <mergeCell ref="C20:D20"/>
    <mergeCell ref="C846:D846"/>
    <mergeCell ref="C318:D318"/>
    <mergeCell ref="C85:D85"/>
    <mergeCell ref="C256:D256"/>
    <mergeCell ref="C112:D112"/>
    <mergeCell ref="C383:D383"/>
    <mergeCell ref="C183:D183"/>
    <mergeCell ref="C389:D389"/>
    <mergeCell ref="C554:D554"/>
    <mergeCell ref="C560:D560"/>
    <mergeCell ref="C923:D923"/>
    <mergeCell ref="C541:D541"/>
    <mergeCell ref="C625:D625"/>
    <mergeCell ref="C612:D612"/>
    <mergeCell ref="C839:D839"/>
    <mergeCell ref="C1010:D1010"/>
    <mergeCell ref="C717:D717"/>
    <mergeCell ref="C910:D910"/>
    <mergeCell ref="C84:D84"/>
    <mergeCell ref="C133:D133"/>
    <mergeCell ref="C22:D22"/>
    <mergeCell ref="C491:D491"/>
    <mergeCell ref="C127:D127"/>
    <mergeCell ref="C193:D193"/>
    <mergeCell ref="C320:D320"/>
    <mergeCell ref="C176:D176"/>
    <mergeCell ref="C904:D904"/>
    <mergeCell ref="C114:D114"/>
    <mergeCell ref="C247:D247"/>
    <mergeCell ref="C356:D356"/>
    <mergeCell ref="C412:D412"/>
    <mergeCell ref="E800:E801"/>
    <mergeCell ref="C418:D418"/>
    <mergeCell ref="C483:D483"/>
    <mergeCell ref="G800:G801"/>
    <mergeCell ref="C781:D781"/>
    <mergeCell ref="C605:D605"/>
    <mergeCell ref="C719:D719"/>
    <mergeCell ref="C257:D257"/>
    <mergeCell ref="C841:D841"/>
    <mergeCell ref="C912:D912"/>
    <mergeCell ref="C1012:D1012"/>
    <mergeCell ref="C51:D51"/>
    <mergeCell ref="C178:D178"/>
    <mergeCell ref="C791:D791"/>
    <mergeCell ref="C620:D620"/>
    <mergeCell ref="C778:D778"/>
    <mergeCell ref="C272:D272"/>
    <mergeCell ref="C443:D443"/>
    <mergeCell ref="F819:F820"/>
    <mergeCell ref="C872:D872"/>
    <mergeCell ref="C38:D38"/>
    <mergeCell ref="C209:D209"/>
    <mergeCell ref="C743:D743"/>
    <mergeCell ref="F1017:F1018"/>
    <mergeCell ref="C936:D936"/>
    <mergeCell ref="C730:D730"/>
    <mergeCell ref="C140:D140"/>
    <mergeCell ref="C267:D267"/>
    <mergeCell ref="C438:D438"/>
    <mergeCell ref="C338:D338"/>
    <mergeCell ref="C509:D509"/>
    <mergeCell ref="C496:D496"/>
    <mergeCell ref="C938:D938"/>
    <mergeCell ref="C994:D994"/>
    <mergeCell ref="C794:D794"/>
    <mergeCell ref="C33:D33"/>
    <mergeCell ref="C204:D204"/>
    <mergeCell ref="C104:D104"/>
    <mergeCell ref="C275:D275"/>
    <mergeCell ref="C446:D446"/>
    <mergeCell ref="C269:D269"/>
    <mergeCell ref="C707:D707"/>
    <mergeCell ref="C340:D340"/>
    <mergeCell ref="C738:D738"/>
    <mergeCell ref="G853:G854"/>
    <mergeCell ref="C809:D809"/>
    <mergeCell ref="C440:D440"/>
    <mergeCell ref="C489:D489"/>
    <mergeCell ref="C511:D511"/>
    <mergeCell ref="C725:D725"/>
    <mergeCell ref="C682:D682"/>
    <mergeCell ref="C796:D796"/>
    <mergeCell ref="C231:D231"/>
    <mergeCell ref="C35:D35"/>
    <mergeCell ref="C206:D206"/>
    <mergeCell ref="C333:D333"/>
    <mergeCell ref="C771:D771"/>
    <mergeCell ref="C504:D504"/>
    <mergeCell ref="C99:D99"/>
    <mergeCell ref="C270:D270"/>
    <mergeCell ref="C835:D835"/>
    <mergeCell ref="C506:D506"/>
    <mergeCell ref="C885:D885"/>
    <mergeCell ref="C130:D130"/>
    <mergeCell ref="C295:D295"/>
    <mergeCell ref="C819:D820"/>
    <mergeCell ref="C562:D562"/>
    <mergeCell ref="C860:D860"/>
    <mergeCell ref="C931:D931"/>
    <mergeCell ref="C409:D409"/>
    <mergeCell ref="C651:D651"/>
    <mergeCell ref="C135:D135"/>
    <mergeCell ref="C328:D328"/>
    <mergeCell ref="C433:D433"/>
    <mergeCell ref="F853:F854"/>
    <mergeCell ref="C159:D159"/>
    <mergeCell ref="C122:D122"/>
    <mergeCell ref="C430:D430"/>
    <mergeCell ref="C153:D153"/>
    <mergeCell ref="F10:H10"/>
    <mergeCell ref="C224:D224"/>
    <mergeCell ref="C862:D862"/>
    <mergeCell ref="C718:D718"/>
    <mergeCell ref="C395:D395"/>
    <mergeCell ref="C960:D960"/>
    <mergeCell ref="C72:D72"/>
    <mergeCell ref="C849:D849"/>
    <mergeCell ref="C420:D420"/>
    <mergeCell ref="C199:D199"/>
    <mergeCell ref="C653:D653"/>
    <mergeCell ref="C497:D497"/>
    <mergeCell ref="C435:D435"/>
    <mergeCell ref="C186:D186"/>
    <mergeCell ref="C557:D557"/>
    <mergeCell ref="C217:D217"/>
    <mergeCell ref="C484:D484"/>
    <mergeCell ref="C926:D926"/>
    <mergeCell ref="C628:D628"/>
    <mergeCell ref="C655:D655"/>
    <mergeCell ref="C720:D720"/>
    <mergeCell ref="C136:D136"/>
    <mergeCell ref="C913:D913"/>
    <mergeCell ref="C962:D962"/>
    <mergeCell ref="C263:D263"/>
    <mergeCell ref="C434:D434"/>
    <mergeCell ref="C323:D323"/>
    <mergeCell ref="C499:D499"/>
    <mergeCell ref="C863:D863"/>
    <mergeCell ref="C486:D486"/>
    <mergeCell ref="C928:D928"/>
    <mergeCell ref="C657:D657"/>
    <mergeCell ref="C784:D784"/>
    <mergeCell ref="C955:D955"/>
    <mergeCell ref="C1020:D1020"/>
    <mergeCell ref="C786:D786"/>
    <mergeCell ref="C957:D957"/>
    <mergeCell ref="C875:D875"/>
    <mergeCell ref="C54:D54"/>
    <mergeCell ref="C41:D41"/>
    <mergeCell ref="C146:D146"/>
    <mergeCell ref="C212:D212"/>
    <mergeCell ref="C510:D510"/>
    <mergeCell ref="C277:D277"/>
    <mergeCell ref="C448:D448"/>
    <mergeCell ref="C581:D581"/>
    <mergeCell ref="C746:D746"/>
    <mergeCell ref="C404:D404"/>
    <mergeCell ref="C575:D575"/>
    <mergeCell ref="C873:D873"/>
    <mergeCell ref="C944:D944"/>
    <mergeCell ref="C56:D56"/>
    <mergeCell ref="C733:D733"/>
    <mergeCell ref="G819:G820"/>
    <mergeCell ref="C105:D105"/>
    <mergeCell ref="C276:D276"/>
    <mergeCell ref="C43:D43"/>
    <mergeCell ref="C214:D214"/>
    <mergeCell ref="C341:D341"/>
    <mergeCell ref="C512:D512"/>
    <mergeCell ref="C810:D810"/>
    <mergeCell ref="C439:D439"/>
    <mergeCell ref="C577:D577"/>
    <mergeCell ref="C639:D639"/>
    <mergeCell ref="C120:D120"/>
    <mergeCell ref="C731:D731"/>
    <mergeCell ref="C797:D797"/>
    <mergeCell ref="G1017:G1018"/>
    <mergeCell ref="C36:D36"/>
    <mergeCell ref="C675:D675"/>
    <mergeCell ref="C278:D278"/>
    <mergeCell ref="C405:D405"/>
    <mergeCell ref="C576:D576"/>
    <mergeCell ref="C370:D370"/>
    <mergeCell ref="C812:D812"/>
    <mergeCell ref="C641:D641"/>
    <mergeCell ref="C799:D799"/>
    <mergeCell ref="C149:D149"/>
    <mergeCell ref="C385:D385"/>
    <mergeCell ref="C67:D67"/>
    <mergeCell ref="G991:G992"/>
    <mergeCell ref="C670:D670"/>
    <mergeCell ref="C69:D69"/>
    <mergeCell ref="C367:D367"/>
    <mergeCell ref="I978:I979"/>
    <mergeCell ref="C603:D603"/>
    <mergeCell ref="C288:D288"/>
    <mergeCell ref="C726:D726"/>
    <mergeCell ref="C459:D459"/>
    <mergeCell ref="C986:D986"/>
    <mergeCell ref="C369:D369"/>
    <mergeCell ref="C225:D225"/>
    <mergeCell ref="C667:D667"/>
    <mergeCell ref="C461:D461"/>
    <mergeCell ref="C728:D728"/>
    <mergeCell ref="C200:D200"/>
    <mergeCell ref="C4:D4"/>
    <mergeCell ref="C1001:D1001"/>
    <mergeCell ref="C752:D752"/>
    <mergeCell ref="C1026:D1026"/>
    <mergeCell ref="C436:D436"/>
    <mergeCell ref="C227:D227"/>
    <mergeCell ref="C721:D721"/>
    <mergeCell ref="C525:D525"/>
    <mergeCell ref="C792:D792"/>
    <mergeCell ref="B9:D9"/>
    <mergeCell ref="C202:D202"/>
    <mergeCell ref="C1028:D1028"/>
    <mergeCell ref="C373:D373"/>
    <mergeCell ref="C444:D444"/>
    <mergeCell ref="C736:D736"/>
    <mergeCell ref="C291:D291"/>
    <mergeCell ref="C685:D685"/>
    <mergeCell ref="C589:D589"/>
    <mergeCell ref="C856:D856"/>
    <mergeCell ref="C60:D60"/>
    <mergeCell ref="C502:D502"/>
    <mergeCell ref="C673:D673"/>
    <mergeCell ref="C654:D654"/>
    <mergeCell ref="C347:D347"/>
    <mergeCell ref="C629:D629"/>
    <mergeCell ref="C268:D268"/>
    <mergeCell ref="C881:D881"/>
    <mergeCell ref="C360:D360"/>
    <mergeCell ref="C91:D91"/>
    <mergeCell ref="C868:D868"/>
    <mergeCell ref="C362:D362"/>
    <mergeCell ref="C82:D82"/>
    <mergeCell ref="C818:D818"/>
    <mergeCell ref="C647:D647"/>
    <mergeCell ref="C57:D57"/>
    <mergeCell ref="C883:D883"/>
    <mergeCell ref="C739:D739"/>
    <mergeCell ref="C155:D155"/>
    <mergeCell ref="C293:D293"/>
    <mergeCell ref="C355:D355"/>
    <mergeCell ref="C975:D975"/>
    <mergeCell ref="C220:D220"/>
    <mergeCell ref="C342:D342"/>
    <mergeCell ref="I837:I838"/>
    <mergeCell ref="C391:D391"/>
    <mergeCell ref="C749:D749"/>
    <mergeCell ref="C578:D578"/>
    <mergeCell ref="C649:D649"/>
    <mergeCell ref="C876:D876"/>
    <mergeCell ref="C676:D676"/>
    <mergeCell ref="C947:D947"/>
    <mergeCell ref="C480:D480"/>
    <mergeCell ref="C86:D86"/>
    <mergeCell ref="C357:D357"/>
    <mergeCell ref="C157:D157"/>
    <mergeCell ref="C455:D455"/>
    <mergeCell ref="C151:D151"/>
    <mergeCell ref="C284:D284"/>
    <mergeCell ref="C515:D515"/>
    <mergeCell ref="C586:D586"/>
    <mergeCell ref="C520:D520"/>
    <mergeCell ref="C344:D344"/>
    <mergeCell ref="H978:H979"/>
    <mergeCell ref="C642:D642"/>
    <mergeCell ref="C449:D449"/>
    <mergeCell ref="C691:D691"/>
    <mergeCell ref="C58:D58"/>
    <mergeCell ref="C813:D813"/>
    <mergeCell ref="C884:D884"/>
    <mergeCell ref="C878:D878"/>
    <mergeCell ref="C294:D294"/>
    <mergeCell ref="C976:D976"/>
    <mergeCell ref="C678:D678"/>
    <mergeCell ref="C215:D215"/>
    <mergeCell ref="C386:D386"/>
    <mergeCell ref="C579:D579"/>
    <mergeCell ref="C815:D815"/>
    <mergeCell ref="C644:D644"/>
    <mergeCell ref="C152:D152"/>
    <mergeCell ref="C75:D75"/>
    <mergeCell ref="C702:D702"/>
    <mergeCell ref="C531:D531"/>
    <mergeCell ref="C767:D767"/>
    <mergeCell ref="C12:D12"/>
    <mergeCell ref="C596:D596"/>
    <mergeCell ref="F991:F992"/>
    <mergeCell ref="C297:D297"/>
    <mergeCell ref="C679:D679"/>
    <mergeCell ref="C704:D704"/>
    <mergeCell ref="C533:D533"/>
    <mergeCell ref="C831:D831"/>
    <mergeCell ref="C1002:D1002"/>
    <mergeCell ref="C660:D660"/>
    <mergeCell ref="C70:D70"/>
    <mergeCell ref="C241:D241"/>
    <mergeCell ref="C312:D312"/>
    <mergeCell ref="C508:D508"/>
    <mergeCell ref="C806:D806"/>
    <mergeCell ref="C610:D610"/>
    <mergeCell ref="C106:D106"/>
    <mergeCell ref="C228:D228"/>
    <mergeCell ref="C299:D299"/>
    <mergeCell ref="C744:D744"/>
    <mergeCell ref="C526:D526"/>
    <mergeCell ref="C768:D768"/>
    <mergeCell ref="C597:D597"/>
    <mergeCell ref="C32:D32"/>
    <mergeCell ref="C762:D762"/>
    <mergeCell ref="C833:D833"/>
    <mergeCell ref="G1004:G1005"/>
    <mergeCell ref="C572:D572"/>
    <mergeCell ref="C243:D243"/>
    <mergeCell ref="C170:D170"/>
    <mergeCell ref="C292:D292"/>
    <mergeCell ref="C808:D808"/>
    <mergeCell ref="C468:D468"/>
    <mergeCell ref="C528:D528"/>
    <mergeCell ref="C307:D307"/>
    <mergeCell ref="C745:D745"/>
    <mergeCell ref="C574:D574"/>
    <mergeCell ref="C101:D101"/>
    <mergeCell ref="C626:D626"/>
    <mergeCell ref="C666:D666"/>
    <mergeCell ref="C664:D664"/>
    <mergeCell ref="C828:D828"/>
    <mergeCell ref="C909:D909"/>
    <mergeCell ref="C966:D966"/>
    <mergeCell ref="C697:D697"/>
    <mergeCell ref="C246:D246"/>
    <mergeCell ref="C853:D854"/>
    <mergeCell ref="C221:D221"/>
    <mergeCell ref="C25:D25"/>
    <mergeCell ref="B2:I2"/>
    <mergeCell ref="C196:D196"/>
    <mergeCell ref="C973:D973"/>
    <mergeCell ref="C392:D392"/>
    <mergeCell ref="C457:D457"/>
    <mergeCell ref="C463:D463"/>
    <mergeCell ref="C755:D755"/>
    <mergeCell ref="F1004:F1005"/>
    <mergeCell ref="C948:D948"/>
    <mergeCell ref="C997:D997"/>
    <mergeCell ref="C886:D886"/>
    <mergeCell ref="H1004:H1005"/>
    <mergeCell ref="C236:D236"/>
    <mergeCell ref="C742:D742"/>
    <mergeCell ref="I853:I854"/>
    <mergeCell ref="C984:D984"/>
    <mergeCell ref="C594:D594"/>
    <mergeCell ref="C223:D223"/>
    <mergeCell ref="C198:D198"/>
    <mergeCell ref="C394:D394"/>
    <mergeCell ref="C692:D692"/>
    <mergeCell ref="C963:D963"/>
    <mergeCell ref="C763:D763"/>
    <mergeCell ref="C521:D521"/>
    <mergeCell ref="C757:D757"/>
    <mergeCell ref="C999:D999"/>
    <mergeCell ref="C300:D300"/>
    <mergeCell ref="C977:D977"/>
    <mergeCell ref="C287:D287"/>
    <mergeCell ref="C458:D458"/>
    <mergeCell ref="C585:D585"/>
    <mergeCell ref="C694:D694"/>
    <mergeCell ref="C523:D523"/>
    <mergeCell ref="C887:D887"/>
    <mergeCell ref="C821:D821"/>
    <mergeCell ref="B837:B838"/>
    <mergeCell ref="C289:D289"/>
    <mergeCell ref="C758:D758"/>
    <mergeCell ref="C929:D929"/>
    <mergeCell ref="C587:D587"/>
    <mergeCell ref="C13:D13"/>
    <mergeCell ref="C78:D78"/>
    <mergeCell ref="C376:D376"/>
    <mergeCell ref="C618:D618"/>
  </mergeCell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2026-04-03T17:46:09Z</dcterms:created>
  <dcterms:modified xsi:type="dcterms:W3CDTF">2026-04-03T17:59:07Z</dcterms:modified>
</cp:coreProperties>
</file>